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ssumptions" sheetId="1" state="visible" r:id="rId1"/>
    <sheet name="02_Unit_Economics" sheetId="2" state="visible" r:id="rId2"/>
    <sheet name="03_Monetization_Models" sheetId="3" state="visible" r:id="rId3"/>
    <sheet name="04_Path_to_1B" sheetId="4" state="visible" r:id="rId4"/>
    <sheet name="05_Sensitivity" sheetId="5" state="visible" r:id="rId5"/>
    <sheet name="06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$#,##0;($#,##0);&quot;-&quot;"/>
    <numFmt numFmtId="166" formatCode="$#,##0.00;($#,##0.00);&quot;-&quot;"/>
    <numFmt numFmtId="167" formatCode="0.0%;(0.0%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color rgb="0000800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164" fontId="5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5" fillId="3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6" fillId="0" borderId="0" pivotButton="0" quotePrefix="0" xfId="0"/>
    <xf numFmtId="0" fontId="6" fillId="10" borderId="0" pivotButton="0" quotePrefix="0" xfId="0"/>
    <xf numFmtId="0" fontId="0" fillId="10" borderId="0" pivotButton="0" quotePrefix="0" xfId="0"/>
    <xf numFmtId="0" fontId="0" fillId="0" borderId="1" pivotButton="0" quotePrefix="0" xfId="0"/>
    <xf numFmtId="165" fontId="7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4" fontId="0" fillId="0" borderId="0" pivotButton="0" quotePrefix="0" xfId="0"/>
    <xf numFmtId="166" fontId="0" fillId="0" borderId="0" pivotButton="0" quotePrefix="0" xfId="0"/>
    <xf numFmtId="166" fontId="7" fillId="0" borderId="0" pivotButton="0" quotePrefix="0" xfId="0"/>
    <xf numFmtId="0" fontId="0" fillId="11" borderId="0" pivotButton="0" quotePrefix="0" xfId="0"/>
    <xf numFmtId="2" fontId="0" fillId="0" borderId="0" pivotButton="0" quotePrefix="0" xfId="0"/>
    <xf numFmtId="165" fontId="5" fillId="3" borderId="0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1" customWidth="1" min="3" max="3"/>
    <col width="11" customWidth="1" min="4" max="4"/>
    <col width="11" customWidth="1" min="5" max="5"/>
    <col width="20" customWidth="1" min="6" max="6"/>
    <col width="46" customWidth="1" min="7" max="7"/>
    <col width="12" customWidth="1" min="8" max="8"/>
    <col width="12" customWidth="1" min="9" max="9"/>
    <col width="22" customWidth="1" min="10" max="10"/>
    <col width="22" customWidth="1" min="11" max="11"/>
  </cols>
  <sheetData>
    <row r="1">
      <c r="A1" s="1" t="inlineStr">
        <is>
          <t>Legion Health Sponsorship Case — Model Assumptions Ledger</t>
        </is>
      </c>
    </row>
    <row r="2">
      <c r="A2" s="2" t="inlineStr">
        <is>
          <t>Editable inputs (blue text, yellow fill = Low/Base/High). Live formulas throughout this workbook reference the BASE column (D) of this sheet. Every row carries a status label — never presented as confirmed Legion data unless status begins 'legion_'.</t>
        </is>
      </c>
    </row>
    <row r="4">
      <c r="A4" s="3" t="inlineStr">
        <is>
          <t>ID</t>
        </is>
      </c>
      <c r="B4" s="3" t="inlineStr">
        <is>
          <t>Assumption</t>
        </is>
      </c>
      <c r="C4" s="3" t="inlineStr">
        <is>
          <t>Low</t>
        </is>
      </c>
      <c r="D4" s="3" t="inlineStr">
        <is>
          <t>Base</t>
        </is>
      </c>
      <c r="E4" s="3" t="inlineStr">
        <is>
          <t>High</t>
        </is>
      </c>
      <c r="F4" s="3" t="inlineStr">
        <is>
          <t>Unit</t>
        </is>
      </c>
      <c r="G4" s="3" t="inlineStr">
        <is>
          <t>Source</t>
        </is>
      </c>
      <c r="H4" s="3" t="inlineStr">
        <is>
          <t>Confidence</t>
        </is>
      </c>
      <c r="I4" s="3" t="inlineStr">
        <is>
          <t>Decision Impact</t>
        </is>
      </c>
      <c r="J4" s="3" t="inlineStr">
        <is>
          <t>Validation Method</t>
        </is>
      </c>
      <c r="K4" s="3" t="inlineStr">
        <is>
          <t>Status</t>
        </is>
      </c>
    </row>
    <row r="5">
      <c r="A5" s="4" t="inlineStr">
        <is>
          <t>A01</t>
        </is>
      </c>
      <c r="B5" s="5" t="inlineStr">
        <is>
          <t>Traditional clinician visit cost (COGS)</t>
        </is>
      </c>
      <c r="C5" s="6" t="n">
        <v>70</v>
      </c>
      <c r="D5" s="6" t="n">
        <v>74</v>
      </c>
      <c r="E5" s="6" t="n">
        <v>85</v>
      </c>
      <c r="F5" s="5" t="inlineStr">
        <is>
          <t>USD/visit</t>
        </is>
      </c>
      <c r="G5" s="5" t="inlineStr">
        <is>
          <t>CEO-provided directional data (Phase 5, 2026-07-08, data/ceo_data_integration.md #5): ~$74 blended provider COGS per synchronous visit, ~52-53% visit gross margin on ~$153/visit revenue -- internal cross-check passes: (153-74)/153=51.6%, matches CEO's stated 52-53%. REPLACES the prior external telehealth-benchmark placeholder (was $90/150/250, Talkiatry/CareClinic/TherapyRoute anchor). Base=$74 is the CEO point estimate; low=$70/high=$85 are a modest variance band around that single blended figure (not independently sourced -- CEO gave one number, not a range).</t>
        </is>
      </c>
      <c r="H5" s="5" t="inlineStr">
        <is>
          <t>medium</t>
        </is>
      </c>
      <c r="I5" s="5" t="inlineStr">
        <is>
          <t>high</t>
        </is>
      </c>
      <c r="J5" s="5" t="inlineStr">
        <is>
          <t>CEO data</t>
        </is>
      </c>
      <c r="K5" s="7" t="inlineStr">
        <is>
          <t>ceo_directional</t>
        </is>
      </c>
    </row>
    <row r="6">
      <c r="A6" s="4" t="inlineStr">
        <is>
          <t>A02</t>
        </is>
      </c>
      <c r="B6" s="5" t="inlineStr">
        <is>
          <t>AI-supported clinician visit cost (COGS)</t>
        </is>
      </c>
      <c r="C6" s="6" t="n">
        <v>32</v>
      </c>
      <c r="D6" s="6" t="n">
        <v>37</v>
      </c>
      <c r="E6" s="6" t="n">
        <v>45</v>
      </c>
      <c r="F6" s="5" t="inlineStr">
        <is>
          <t>USD/visit</t>
        </is>
      </c>
      <c r="G6" s="5" t="inlineStr">
        <is>
          <t>CEO-provided directional data (Phase 5, 2026-07-08, data/ceo_data_integration.md #6): AI-leverage assumption ~2x visits/hour -&gt; ~$37 COGS/visit, ~76% gross margin on $153/visit revenue -- internal cross-check passes: (153-37)/153=75.8%, matches CEO's stated '75%+' target. REPLACES the prior unsourced clinician-time-compression placeholder (was $50/90/140). Base=$37 is the CEO point estimate; low=$32/high=$45 are a modest variance band around that single figure (not independently sourced).</t>
        </is>
      </c>
      <c r="H6" s="5" t="inlineStr">
        <is>
          <t>medium</t>
        </is>
      </c>
      <c r="I6" s="5" t="inlineStr">
        <is>
          <t>high</t>
        </is>
      </c>
      <c r="J6" s="5" t="inlineStr">
        <is>
          <t>CEO data</t>
        </is>
      </c>
      <c r="K6" s="7" t="inlineStr">
        <is>
          <t>ceo_directional</t>
        </is>
      </c>
    </row>
    <row r="7">
      <c r="A7" s="4" t="inlineStr">
        <is>
          <t>A02b</t>
        </is>
      </c>
      <c r="B7" s="5" t="inlineStr">
        <is>
          <t>Mostly-AI-driven care episode cost</t>
        </is>
      </c>
      <c r="C7" s="6" t="n">
        <v>2</v>
      </c>
      <c r="D7" s="6" t="n">
        <v>8</v>
      </c>
      <c r="E7" s="6" t="n">
        <v>25</v>
      </c>
      <c r="F7" s="5" t="inlineStr">
        <is>
          <t>USD/episode</t>
        </is>
      </c>
      <c r="G7" s="5" t="inlineStr">
        <is>
          <t>DERIVED, Phase 5 (2026-07-08, data/ceo_data_integration.md #7): fully-loaded episode cost = $1 token/compute cost (CEO data point, compute only) + escalation-allocated human-review cost. Derivation shown explicitly since no Legion escalation-rate figure exists: model an escalated episode as bumping to a full AI-supported-clinician-visit-equivalent review at the A02 base rate (the '$37-leverage cost'), scaled by an illustrative escalation rate (analyst parameter, NOT CEO-sourced) -- low: ~2.7% x $37=$1.00 (+$1 token=$2.00); base: ~18.9% x $37=$7.00 (+$1=$8.00); high: ~64.9% x $37=$24.00 (+$1=$25.00). This lands inside the CEO's own framing ('even generously loaded, episode cost lands ~$2-25') and REPLACES the prior $15/35/75 external-benchmark placeholder. The $1 token input is CEO-directional; the escalation-rate parameter is analyst-derived/illustrative pending a real Legion escalation-rate figure.</t>
        </is>
      </c>
      <c r="H7" s="5" t="inlineStr">
        <is>
          <t>medium</t>
        </is>
      </c>
      <c r="I7" s="5" t="inlineStr">
        <is>
          <t>high</t>
        </is>
      </c>
      <c r="J7" s="5" t="inlineStr">
        <is>
          <t>CEO data + derivation</t>
        </is>
      </c>
      <c r="K7" s="8" t="inlineStr">
        <is>
          <t>ceo_directional_derived</t>
        </is>
      </c>
    </row>
    <row r="8">
      <c r="A8" s="4" t="inlineStr">
        <is>
          <t>A03</t>
        </is>
      </c>
      <c r="B8" s="5" t="inlineStr">
        <is>
          <t>Traditional pathway visits per patient per year</t>
        </is>
      </c>
      <c r="C8" s="6" t="n">
        <v>4</v>
      </c>
      <c r="D8" s="9" t="n">
        <v>5.3</v>
      </c>
      <c r="E8" s="9" t="n">
        <v>13.2</v>
      </c>
      <c r="F8" s="5" t="inlineStr">
        <is>
          <t>visits/patient/yr</t>
        </is>
      </c>
      <c r="G8" s="5" t="inlineStr">
        <is>
          <t>CEO-provided directional data (Phase 5, 2026-07-08, data/ceo_data_integration.md #2/#3), REPLACES the external-benchmark placeholder (was 4/8/16). Base=5.3 = CEO's stated historical AVERAGE completed visits per patient (implies a ~5-month typical episode per CEO framing). High=13.2 = CEO's stated continuously-active/mature-cohort run-rate (1.08-1.13 completed visits/active-patient/month x 12 = ~13.0-13.6/yr; midpoint used). Low=4 is retained from the prior placeholder's low end as a labeled conservative floor (the CEO did not provide a below-average figure). TENSION, DO NOT SILENTLY BLEND (see model_readme.md v3): base (5.3) is a historical AVERAGE-patient annual rate across a full patient lifecycle; high (13.2) is the rate for a DIFFERENT population -- a patient continuously active all year (mature/retained cohort) -- not simply a more-intensive version of the same average patient. A29/A30 (mature-cohort booked/GM LTV-to-CAC) imply mature-cohort lifetime visits of ~13.2 (2,025/153), ~2.5x the 5.3 historical average; base and high are kept separate per lead direction rather than blended into one number.</t>
        </is>
      </c>
      <c r="H8" s="5" t="inlineStr">
        <is>
          <t>medium</t>
        </is>
      </c>
      <c r="I8" s="5" t="inlineStr">
        <is>
          <t>high</t>
        </is>
      </c>
      <c r="J8" s="5" t="inlineStr">
        <is>
          <t>CEO data</t>
        </is>
      </c>
      <c r="K8" s="7" t="inlineStr">
        <is>
          <t>ceo_directional</t>
        </is>
      </c>
    </row>
    <row r="9">
      <c r="A9" s="4" t="inlineStr">
        <is>
          <t>A03b</t>
        </is>
      </c>
      <c r="B9" s="5" t="inlineStr">
        <is>
          <t>AI-supported pathway visits per patient per year</t>
        </is>
      </c>
      <c r="C9" s="6" t="n">
        <v>6</v>
      </c>
      <c r="D9" s="6" t="n">
        <v>12</v>
      </c>
      <c r="E9" s="6" t="n">
        <v>24</v>
      </c>
      <c r="F9" s="5" t="inlineStr">
        <is>
          <t>visits/patient/yr</t>
        </is>
      </c>
      <c r="G9" s="5" t="inlineStr">
        <is>
          <t>PLACEHOLDER pending Legion data. Assumes AI-supported model enables higher-frequency, shorter touchpoints than traditional cadence; no Legion or external source specific to this pathway definition.</t>
        </is>
      </c>
      <c r="H9" s="5" t="inlineStr">
        <is>
          <t>unresolved</t>
        </is>
      </c>
      <c r="I9" s="5" t="inlineStr">
        <is>
          <t>medium</t>
        </is>
      </c>
      <c r="J9" s="5" t="inlineStr">
        <is>
          <t>CEO data</t>
        </is>
      </c>
      <c r="K9" s="10" t="inlineStr">
        <is>
          <t>placeholder_unresolved</t>
        </is>
      </c>
    </row>
    <row r="10">
      <c r="A10" s="4" t="inlineStr">
        <is>
          <t>A04</t>
        </is>
      </c>
      <c r="B10" s="5" t="inlineStr">
        <is>
          <t>Mostly-AI-driven care episodes per patient per year</t>
        </is>
      </c>
      <c r="C10" s="6" t="n">
        <v>3</v>
      </c>
      <c r="D10" s="6" t="n">
        <v>6</v>
      </c>
      <c r="E10" s="6" t="n">
        <v>12</v>
      </c>
      <c r="F10" s="5" t="inlineStr">
        <is>
          <t>episodes/patient/yr</t>
        </is>
      </c>
      <c r="G10" s="5" t="inlineStr">
        <is>
          <t>PLACEHOLDER pending Legion data. A 'care episode' here is a bundled unit of AI-driven care (e.g., an AI-led assessment/check-in cycle), analogous in scope to a clinician visit but lower-cost/lower-touch, NOT a single chat message. Range set below A03 (traditional visit cadence) per decision_framework.md's explicit qualitative ordering that the mostly-AI-driven pathway carries the LOWEST relative cost of the three pathways; no direct external benchmark exists for episode frequency specifically, so the range is an analytic placeholder anchored to that qualitative constraint.</t>
        </is>
      </c>
      <c r="H10" s="5" t="inlineStr">
        <is>
          <t>unresolved</t>
        </is>
      </c>
      <c r="I10" s="5" t="inlineStr">
        <is>
          <t>medium</t>
        </is>
      </c>
      <c r="J10" s="5" t="inlineStr">
        <is>
          <t>CEO data</t>
        </is>
      </c>
      <c r="K10" s="10" t="inlineStr">
        <is>
          <t>placeholder_unresolved</t>
        </is>
      </c>
    </row>
    <row r="11">
      <c r="A11" s="4" t="inlineStr">
        <is>
          <t>A05</t>
        </is>
      </c>
      <c r="B11" s="5" t="inlineStr">
        <is>
          <t>Sponsor ARPU (fixed-fee sponsorship per exposed patient)</t>
        </is>
      </c>
      <c r="C11" s="6" t="n">
        <v>10</v>
      </c>
      <c r="D11" s="6" t="n">
        <v>15</v>
      </c>
      <c r="E11" s="6" t="n">
        <v>40</v>
      </c>
      <c r="F11" s="5" t="inlineStr">
        <is>
          <t>USD/patient/yr</t>
        </is>
      </c>
      <c r="G11" s="5" t="inlineStr">
        <is>
          <t>comparable_notes.md: GoodRx pharma-solutions ARPU ~$15/user/yr (derived); high case assumes multi-sponsor stacking (estimate)</t>
        </is>
      </c>
      <c r="H11" s="5" t="inlineStr">
        <is>
          <t>low</t>
        </is>
      </c>
      <c r="I11" s="5" t="inlineStr">
        <is>
          <t>high</t>
        </is>
      </c>
      <c r="J11" s="5" t="inlineStr">
        <is>
          <t>Sponsor-side test (15-20 buyer interviews)</t>
        </is>
      </c>
      <c r="K11" s="11" t="inlineStr">
        <is>
          <t>estimated_external</t>
        </is>
      </c>
    </row>
    <row r="12">
      <c r="A12" s="4" t="inlineStr">
        <is>
          <t>A06</t>
        </is>
      </c>
      <c r="B12" s="5" t="inlineStr">
        <is>
          <t>Programmatic health eCPM (patient-vertical contextual)</t>
        </is>
      </c>
      <c r="C12" s="6" t="n">
        <v>20</v>
      </c>
      <c r="D12" s="6" t="n">
        <v>30</v>
      </c>
      <c r="E12" s="6" t="n">
        <v>45</v>
      </c>
      <c r="F12" s="5" t="inlineStr">
        <is>
          <t>USD/1000 impressions</t>
        </is>
      </c>
      <c r="G12" s="5" t="inlineStr">
        <is>
          <t>comparable_notes.md: Facebook healthcare / patient-health-vertical CPM benchmarks; do NOT use physician CPMs ($70-1000+)</t>
        </is>
      </c>
      <c r="H12" s="5" t="inlineStr">
        <is>
          <t>medium</t>
        </is>
      </c>
      <c r="I12" s="5" t="inlineStr">
        <is>
          <t>medium</t>
        </is>
      </c>
      <c r="J12" s="5" t="inlineStr">
        <is>
          <t>Research benchmarks</t>
        </is>
      </c>
      <c r="K12" s="11" t="inlineStr">
        <is>
          <t>estimated_external</t>
        </is>
      </c>
    </row>
    <row r="13">
      <c r="A13" s="4" t="inlineStr">
        <is>
          <t>A06b</t>
        </is>
      </c>
      <c r="B13" s="5" t="inlineStr">
        <is>
          <t>Ad sessions per patient per year (Model A exposure volume)</t>
        </is>
      </c>
      <c r="C13" s="6" t="n">
        <v>12</v>
      </c>
      <c r="D13" s="6" t="n">
        <v>52</v>
      </c>
      <c r="E13" s="6" t="n">
        <v>450</v>
      </c>
      <c r="F13" s="5" t="inlineStr">
        <is>
          <t>sessions/patient/yr</t>
        </is>
      </c>
      <c r="G13" s="5" t="inlineStr">
        <is>
          <t>PLACEHOLDER. Low/base derived from A03/A03b/A04 order-of-magnitude (roughly monthly to several-times-weekly touchpoints); no Legion product-usage data exists yet. HIGH END WIDENED post strategy_red_team.md Attack 1.3 (2026-07-07 v2 revision): 150/yr was anchored to visit-based cadences and did not represent how a daily-use ambient-engagement AI companion/chat product might actually be opened; 450/yr (~1.2x/day) represents that daily-use ceiling instead. Still no Legion product-usage data exists for either end.</t>
        </is>
      </c>
      <c r="H13" s="5" t="inlineStr">
        <is>
          <t>unresolved</t>
        </is>
      </c>
      <c r="I13" s="5" t="inlineStr">
        <is>
          <t>medium</t>
        </is>
      </c>
      <c r="J13" s="5" t="inlineStr">
        <is>
          <t>Product analytics (post-launch)</t>
        </is>
      </c>
      <c r="K13" s="10" t="inlineStr">
        <is>
          <t>placeholder_unresolved</t>
        </is>
      </c>
    </row>
    <row r="14">
      <c r="A14" s="4" t="inlineStr">
        <is>
          <t>A06c</t>
        </is>
      </c>
      <c r="B14" s="5" t="inlineStr">
        <is>
          <t>Ads served per session</t>
        </is>
      </c>
      <c r="C14" s="6" t="n">
        <v>1</v>
      </c>
      <c r="D14" s="6" t="n">
        <v>2</v>
      </c>
      <c r="E14" s="6" t="n">
        <v>3</v>
      </c>
      <c r="F14" s="5" t="inlineStr">
        <is>
          <t>ads/session</t>
        </is>
      </c>
      <c r="G14" s="5" t="inlineStr">
        <is>
          <t>PLACEHOLDER external analogy to typical content-page ad density (display/native); not Legion-specific and no clinical-workflow ad placement has been designed or approved.</t>
        </is>
      </c>
      <c r="H14" s="5" t="inlineStr">
        <is>
          <t>low</t>
        </is>
      </c>
      <c r="I14" s="5" t="inlineStr">
        <is>
          <t>medium</t>
        </is>
      </c>
      <c r="J14" s="5" t="inlineStr">
        <is>
          <t>Product design decision</t>
        </is>
      </c>
      <c r="K14" s="12" t="inlineStr">
        <is>
          <t>placeholder_external</t>
        </is>
      </c>
    </row>
    <row r="15">
      <c r="A15" s="4" t="inlineStr">
        <is>
          <t>A06d</t>
        </is>
      </c>
      <c r="B15" s="5" t="inlineStr">
        <is>
          <t>Ad fill rate</t>
        </is>
      </c>
      <c r="C15" s="6" t="n">
        <v>50</v>
      </c>
      <c r="D15" s="6" t="n">
        <v>70</v>
      </c>
      <c r="E15" s="6" t="n">
        <v>90</v>
      </c>
      <c r="F15" s="5" t="inlineStr">
        <is>
          <t>% (0-100)</t>
        </is>
      </c>
      <c r="G15" s="5" t="inlineStr">
        <is>
          <t>PLACEHOLDER general programmatic display fill-rate norms (50-90% typical range cited across ad-tech industry sources); not health-vertical specific. Stored as 0-100 (not 0-1) for consistency with other pct01-converted assumptions (A07/A14/A19/A21/A22) in scenarios.py/sensitivity.py.</t>
        </is>
      </c>
      <c r="H15" s="5" t="inlineStr">
        <is>
          <t>low</t>
        </is>
      </c>
      <c r="I15" s="5" t="inlineStr">
        <is>
          <t>low</t>
        </is>
      </c>
      <c r="J15" s="5" t="inlineStr">
        <is>
          <t>Ad-ops benchmarking</t>
        </is>
      </c>
      <c r="K15" s="12" t="inlineStr">
        <is>
          <t>placeholder_external</t>
        </is>
      </c>
    </row>
    <row r="16">
      <c r="A16" s="4" t="inlineStr">
        <is>
          <t>A06e</t>
        </is>
      </c>
      <c r="B16" s="5" t="inlineStr">
        <is>
          <t>Platform/ad-tech fee (take rate)</t>
        </is>
      </c>
      <c r="C16" s="6" t="n">
        <v>20</v>
      </c>
      <c r="D16" s="6" t="n">
        <v>30</v>
      </c>
      <c r="E16" s="6" t="n">
        <v>40</v>
      </c>
      <c r="F16" s="5" t="inlineStr">
        <is>
          <t>% (0-100)</t>
        </is>
      </c>
      <c r="G16" s="5" t="inlineStr">
        <is>
          <t>PLACEHOLDER standard programmatic ad-exchange take rates (20-40% commonly cited industry-wide for SSP/DSP/exchange fees combined). Stored as 0-100 (not 0-1) for consistency with other pct01-converted assumptions.</t>
        </is>
      </c>
      <c r="H16" s="5" t="inlineStr">
        <is>
          <t>low</t>
        </is>
      </c>
      <c r="I16" s="5" t="inlineStr">
        <is>
          <t>medium</t>
        </is>
      </c>
      <c r="J16" s="5" t="inlineStr">
        <is>
          <t>Ad-ops benchmarking</t>
        </is>
      </c>
      <c r="K16" s="12" t="inlineStr">
        <is>
          <t>placeholder_external</t>
        </is>
      </c>
    </row>
    <row r="17">
      <c r="A17" s="4" t="inlineStr">
        <is>
          <t>A07</t>
        </is>
      </c>
      <c r="B17" s="5" t="inlineStr">
        <is>
          <t>Sponsor renewal rate</t>
        </is>
      </c>
      <c r="C17" s="6" t="n">
        <v>50</v>
      </c>
      <c r="D17" s="6" t="n">
        <v>70</v>
      </c>
      <c r="E17" s="6" t="n">
        <v>90</v>
      </c>
      <c r="F17" s="5" t="inlineStr">
        <is>
          <t>%/yr</t>
        </is>
      </c>
      <c r="G17" s="5" t="inlineStr">
        <is>
          <t>PLACEHOLDER. No Legion or direct sponsor-side data. External proxy: typical enterprise/B2B logo retention ranges widely (50-90%) depending on contract structure; not sourced from a comparable sponsorship program.</t>
        </is>
      </c>
      <c r="H17" s="5" t="inlineStr">
        <is>
          <t>unresolved</t>
        </is>
      </c>
      <c r="I17" s="5" t="inlineStr">
        <is>
          <t>medium</t>
        </is>
      </c>
      <c r="J17" s="5" t="inlineStr">
        <is>
          <t>Sponsor-side test</t>
        </is>
      </c>
      <c r="K17" s="10" t="inlineStr">
        <is>
          <t>placeholder_unresolved</t>
        </is>
      </c>
    </row>
    <row r="18">
      <c r="A18" s="4" t="inlineStr">
        <is>
          <t>A08</t>
        </is>
      </c>
      <c r="B18" s="5" t="inlineStr">
        <is>
          <t>Sales + servicing cost per sponsor contract</t>
        </is>
      </c>
      <c r="C18" s="6" t="n">
        <v>50000</v>
      </c>
      <c r="D18" s="6" t="n">
        <v>150000</v>
      </c>
      <c r="E18" s="6" t="n">
        <v>400000</v>
      </c>
      <c r="F18" s="5" t="inlineStr">
        <is>
          <t>USD/contract/yr</t>
        </is>
      </c>
      <c r="G18" s="5" t="inlineStr">
        <is>
          <t>comparable_notes.md: pharma agency retainers $5-40K/mo; 9-18 mo enterprise sales cycles (rough estimate)</t>
        </is>
      </c>
      <c r="H18" s="5" t="inlineStr">
        <is>
          <t>low</t>
        </is>
      </c>
      <c r="I18" s="5" t="inlineStr">
        <is>
          <t>medium</t>
        </is>
      </c>
      <c r="J18" s="5" t="inlineStr">
        <is>
          <t>Sponsor-side test</t>
        </is>
      </c>
      <c r="K18" s="11" t="inlineStr">
        <is>
          <t>estimated_external</t>
        </is>
      </c>
    </row>
    <row r="19">
      <c r="A19" s="4" t="inlineStr">
        <is>
          <t>A09</t>
        </is>
      </c>
      <c r="B19" s="5" t="inlineStr">
        <is>
          <t>Incremental compliance/legal cost</t>
        </is>
      </c>
      <c r="C19" s="6" t="n">
        <v>150000</v>
      </c>
      <c r="D19" s="6" t="n">
        <v>400000</v>
      </c>
      <c r="E19" s="6" t="n">
        <v>900000</v>
      </c>
      <c r="F19" s="5" t="inlineStr">
        <is>
          <t>USD/yr</t>
        </is>
      </c>
      <c r="G19" s="5" t="inlineStr">
        <is>
          <t>PLACEHOLDER. External anchor: mid-size digital-health-org HIPAA/compliance program cost $80K-500K initial + $90K-500K/yr ongoing (Medcurity/HIPAA Journal 2026 benchmarking); Legion-specific sponsor-ad-compliance overlay (FTC Health Breach Notification Rule exposure per GoodRx/Cerebral precedent) adds incremental legal review not captured in generic HIPAA figures, so high end raised above generic mid-size benchmark.</t>
        </is>
      </c>
      <c r="H19" s="5" t="inlineStr">
        <is>
          <t>low</t>
        </is>
      </c>
      <c r="I19" s="5" t="inlineStr">
        <is>
          <t>high</t>
        </is>
      </c>
      <c r="J19" s="5" t="inlineStr">
        <is>
          <t>Counsel estimate</t>
        </is>
      </c>
      <c r="K19" s="12" t="inlineStr">
        <is>
          <t>placeholder_external</t>
        </is>
      </c>
    </row>
    <row r="20">
      <c r="A20" s="4" t="inlineStr">
        <is>
          <t>A10</t>
        </is>
      </c>
      <c r="B20" s="5" t="inlineStr">
        <is>
          <t>Trust-related conversion (booking) loss from sponsorship</t>
        </is>
      </c>
      <c r="C20" s="6" t="n">
        <v>1</v>
      </c>
      <c r="D20" s="6" t="n">
        <v>4</v>
      </c>
      <c r="E20" s="6" t="n">
        <v>10</v>
      </c>
      <c r="F20" s="5" t="inlineStr">
        <is>
          <t>pp decline</t>
        </is>
      </c>
      <c r="G20" s="5" t="inlineStr">
        <is>
          <t>PLACEHOLDER. No patient concept test run yet. Order-of-magnitude judgment anchored to comparable_notes.md pattern (GoodRx/Cerebral enforcement, Woebot/Wysa low free-to-paid conversion) suggesting sponsorship/ad presence measurably depresses trust-sensitive conversion in health contexts; magnitude unresolved.</t>
        </is>
      </c>
      <c r="H20" s="5" t="inlineStr">
        <is>
          <t>unresolved</t>
        </is>
      </c>
      <c r="I20" s="5" t="inlineStr">
        <is>
          <t>high</t>
        </is>
      </c>
      <c r="J20" s="5" t="inlineStr">
        <is>
          <t>Patient-side test</t>
        </is>
      </c>
      <c r="K20" s="10" t="inlineStr">
        <is>
          <t>placeholder_unresolved</t>
        </is>
      </c>
    </row>
    <row r="21">
      <c r="A21" s="4" t="inlineStr">
        <is>
          <t>A11</t>
        </is>
      </c>
      <c r="B21" s="5" t="inlineStr">
        <is>
          <t>Trust-related retention (continuation) loss from sponsorship</t>
        </is>
      </c>
      <c r="C21" s="6" t="n">
        <v>1</v>
      </c>
      <c r="D21" s="6" t="n">
        <v>5</v>
      </c>
      <c r="E21" s="6" t="n">
        <v>15</v>
      </c>
      <c r="F21" s="5" t="inlineStr">
        <is>
          <t>pp decline</t>
        </is>
      </c>
      <c r="G21" s="5" t="inlineStr">
        <is>
          <t>PLACEHOLDER. No patient concept test run yet. Judgment placeholder; psychiatric/behavioral-health patients plausibly more trust-sensitive than general consumer health (per comparable_notes.md discussion of Woebot/Cerebral trust dynamics), so high end set above A10.</t>
        </is>
      </c>
      <c r="H21" s="5" t="inlineStr">
        <is>
          <t>unresolved</t>
        </is>
      </c>
      <c r="I21" s="5" t="inlineStr">
        <is>
          <t>high</t>
        </is>
      </c>
      <c r="J21" s="5" t="inlineStr">
        <is>
          <t>Patient-side test</t>
        </is>
      </c>
      <c r="K21" s="10" t="inlineStr">
        <is>
          <t>placeholder_unresolved</t>
        </is>
      </c>
    </row>
    <row r="22">
      <c r="A22" s="4" t="inlineStr">
        <is>
          <t>A12</t>
        </is>
      </c>
      <c r="B22" s="5" t="inlineStr">
        <is>
          <t>Revenue multiple for valuation backsolve</t>
        </is>
      </c>
      <c r="C22" s="6" t="n">
        <v>5</v>
      </c>
      <c r="D22" s="6" t="n">
        <v>10</v>
      </c>
      <c r="E22" s="6" t="n">
        <v>20</v>
      </c>
      <c r="F22" s="5" t="inlineStr">
        <is>
          <t>x revenue</t>
        </is>
      </c>
      <c r="G22" s="5" t="inlineStr">
        <is>
          <t>Public digital-health comps</t>
        </is>
      </c>
      <c r="H22" s="5" t="inlineStr">
        <is>
          <t>low</t>
        </is>
      </c>
      <c r="I22" s="5" t="inlineStr">
        <is>
          <t>high</t>
        </is>
      </c>
      <c r="J22" s="5" t="inlineStr">
        <is>
          <t>Comparables research</t>
        </is>
      </c>
      <c r="K22" s="12" t="inlineStr">
        <is>
          <t>awaiting_research</t>
        </is>
      </c>
    </row>
    <row r="23">
      <c r="A23" s="4" t="inlineStr">
        <is>
          <t>A13</t>
        </is>
      </c>
      <c r="B23" s="5" t="inlineStr">
        <is>
          <t>Eligible patient population for free pathway</t>
        </is>
      </c>
      <c r="C23" s="6" t="n">
        <v>25000</v>
      </c>
      <c r="D23" s="6" t="n">
        <v>150000</v>
      </c>
      <c r="E23" s="6" t="n">
        <v>750000</v>
      </c>
      <c r="F23" s="5" t="inlineStr">
        <is>
          <t>patients</t>
        </is>
      </c>
      <c r="G23" s="5" t="inlineStr">
        <is>
          <t>Census/SAMHSA TAM anchor (P01-P08; data/uninsured_population_sizing.md). ~5.9M uninsured US adults 18+ with AMI (NSDUH 2024). Low/base/high = Legion REACHABLE uninsured AMI cohort: 25K/150K/750K. CEO confirmed 2026-07-09: 0 of ~3,000 current actives are uninsured -- this is a GREENFIELD pipeline only; core FFS book unchanged. Scope: uninsured-only free pathway.</t>
        </is>
      </c>
      <c r="H23" s="5" t="inlineStr">
        <is>
          <t>medium</t>
        </is>
      </c>
      <c r="I23" s="5" t="inlineStr">
        <is>
          <t>medium</t>
        </is>
      </c>
      <c r="J23" s="5" t="inlineStr">
        <is>
          <t>Census ACS 2024 + SAMHSA NSDUH 2024 + CEO confirmation</t>
        </is>
      </c>
      <c r="K23" s="11" t="inlineStr">
        <is>
          <t>estimated_external</t>
        </is>
      </c>
    </row>
    <row r="24">
      <c r="A24" s="4" t="inlineStr">
        <is>
          <t>A14</t>
        </is>
      </c>
      <c r="B24" s="5" t="inlineStr">
        <is>
          <t>Target contribution margin</t>
        </is>
      </c>
      <c r="C24" s="6" t="n">
        <v>20</v>
      </c>
      <c r="D24" s="6" t="n">
        <v>25</v>
      </c>
      <c r="E24" s="6" t="n">
        <v>30</v>
      </c>
      <c r="F24" s="5" t="inlineStr">
        <is>
          <t>%</t>
        </is>
      </c>
      <c r="G24" s="5" t="inlineStr">
        <is>
          <t>Lead judgment</t>
        </is>
      </c>
      <c r="H24" s="5" t="inlineStr">
        <is>
          <t>medium</t>
        </is>
      </c>
      <c r="I24" s="5" t="inlineStr">
        <is>
          <t>medium</t>
        </is>
      </c>
      <c r="J24" s="5" t="inlineStr">
        <is>
          <t>Lead decision</t>
        </is>
      </c>
      <c r="K24" s="13" t="inlineStr">
        <is>
          <t>set_provisional</t>
        </is>
      </c>
    </row>
    <row r="25">
      <c r="A25" s="4" t="inlineStr">
        <is>
          <t>A15</t>
        </is>
      </c>
      <c r="B25" s="5" t="inlineStr">
        <is>
          <t>Employer/payer PEPM underwriting range (Model D anchor)</t>
        </is>
      </c>
      <c r="C25" s="6" t="n">
        <v>36</v>
      </c>
      <c r="D25" s="6" t="n">
        <v>600</v>
      </c>
      <c r="E25" s="6" t="n">
        <v>4200</v>
      </c>
      <c r="F25" s="5" t="inlineStr">
        <is>
          <t>USD/patient/yr</t>
        </is>
      </c>
      <c r="G25" s="5" t="inlineStr">
        <is>
          <t>comparable_notes.md: EAP $3-9 PEPM low end ($36-108/yr); Lyra/Spring Health $120-350/mo premium end ($1,440-4,200/yr); base case set at approx. general-benefit midpoint ($50/mo=$600/yr), not a Legion-specific quote.</t>
        </is>
      </c>
      <c r="H25" s="5" t="inlineStr">
        <is>
          <t>low</t>
        </is>
      </c>
      <c r="I25" s="5" t="inlineStr">
        <is>
          <t>medium</t>
        </is>
      </c>
      <c r="J25" s="5" t="inlineStr">
        <is>
          <t>Employer buyer interviews</t>
        </is>
      </c>
      <c r="K25" s="11" t="inlineStr">
        <is>
          <t>estimated_external</t>
        </is>
      </c>
    </row>
    <row r="26">
      <c r="A26" s="4" t="inlineStr">
        <is>
          <t>A16</t>
        </is>
      </c>
      <c r="B26" s="5" t="inlineStr">
        <is>
          <t>Foundation/grant annual funding pool (Model E anchor)</t>
        </is>
      </c>
      <c r="C26" s="6" t="n">
        <v>100000</v>
      </c>
      <c r="D26" s="6" t="n">
        <v>750000</v>
      </c>
      <c r="E26" s="6" t="n">
        <v>3000000</v>
      </c>
      <c r="F26" s="5" t="inlineStr">
        <is>
          <t>USD/yr</t>
        </is>
      </c>
      <c r="G26" s="5" t="inlineStr">
        <is>
          <t>PLACEHOLDER. No specific Legion foundation partner identified. Order-of-magnitude range drawn from typical mid-size health-foundation program grant sizes (analytic placeholder, not sourced to a named grantor).</t>
        </is>
      </c>
      <c r="H26" s="5" t="inlineStr">
        <is>
          <t>unresolved</t>
        </is>
      </c>
      <c r="I26" s="5" t="inlineStr">
        <is>
          <t>medium</t>
        </is>
      </c>
      <c r="J26" s="5" t="inlineStr">
        <is>
          <t>Foundation partner interviews</t>
        </is>
      </c>
      <c r="K26" s="10" t="inlineStr">
        <is>
          <t>placeholder_unresolved</t>
        </is>
      </c>
    </row>
    <row r="27">
      <c r="A27" s="4" t="inlineStr">
        <is>
          <t>A17</t>
        </is>
      </c>
      <c r="B27" s="5" t="inlineStr">
        <is>
          <t>Foundation-funded cohort size</t>
        </is>
      </c>
      <c r="C27" s="6" t="n">
        <v>200</v>
      </c>
      <c r="D27" s="6" t="n">
        <v>1000</v>
      </c>
      <c r="E27" s="6" t="n">
        <v>5000</v>
      </c>
      <c r="F27" s="5" t="inlineStr">
        <is>
          <t>patients</t>
        </is>
      </c>
      <c r="G27" s="5" t="inlineStr">
        <is>
          <t>PLACEHOLDER. Analytic placeholder scaling with A16; no Legion or named-foundation data.</t>
        </is>
      </c>
      <c r="H27" s="5" t="inlineStr">
        <is>
          <t>unresolved</t>
        </is>
      </c>
      <c r="I27" s="5" t="inlineStr">
        <is>
          <t>low</t>
        </is>
      </c>
      <c r="J27" s="5" t="inlineStr">
        <is>
          <t>Foundation partner interviews</t>
        </is>
      </c>
      <c r="K27" s="10" t="inlineStr">
        <is>
          <t>placeholder_unresolved</t>
        </is>
      </c>
    </row>
    <row r="28">
      <c r="A28" s="4" t="inlineStr">
        <is>
          <t>A18</t>
        </is>
      </c>
      <c r="B28" s="5" t="inlineStr">
        <is>
          <t>Foundation grant duration</t>
        </is>
      </c>
      <c r="C28" s="6" t="n">
        <v>1</v>
      </c>
      <c r="D28" s="6" t="n">
        <v>2</v>
      </c>
      <c r="E28" s="6" t="n">
        <v>3</v>
      </c>
      <c r="F28" s="5" t="inlineStr">
        <is>
          <t>years</t>
        </is>
      </c>
      <c r="G28" s="5" t="inlineStr">
        <is>
          <t>PLACEHOLDER. Typical foundation grant cycles are commonly 1-3 years in philanthropic-sector practice generally; not sourced to a specific behavioral-health grantor.</t>
        </is>
      </c>
      <c r="H28" s="5" t="inlineStr">
        <is>
          <t>low</t>
        </is>
      </c>
      <c r="I28" s="5" t="inlineStr">
        <is>
          <t>low</t>
        </is>
      </c>
      <c r="J28" s="5" t="inlineStr">
        <is>
          <t>Foundation partner interviews</t>
        </is>
      </c>
      <c r="K28" s="12" t="inlineStr">
        <is>
          <t>placeholder_external</t>
        </is>
      </c>
    </row>
    <row r="29">
      <c r="A29" s="4" t="inlineStr">
        <is>
          <t>A19</t>
        </is>
      </c>
      <c r="B29" s="5" t="inlineStr">
        <is>
          <t>Qualified performance action rate (Model C)</t>
        </is>
      </c>
      <c r="C29" s="6" t="n">
        <v>2</v>
      </c>
      <c r="D29" s="6" t="n">
        <v>8</v>
      </c>
      <c r="E29" s="6" t="n">
        <v>20</v>
      </c>
      <c r="F29" s="5" t="inlineStr">
        <is>
          <t>% (0-100) of sessions triggering a qualified action</t>
        </is>
      </c>
      <c r="G29" s="5" t="inlineStr">
        <is>
          <t>PLACEHOLDER. Model C flagged in decision_framework.md as requiring legal review before real-world use (steering-risk); modeled here for economic comparison only, not a Legion or sourced conversion rate.</t>
        </is>
      </c>
      <c r="H29" s="5" t="inlineStr">
        <is>
          <t>unresolved</t>
        </is>
      </c>
      <c r="I29" s="5" t="inlineStr">
        <is>
          <t>high</t>
        </is>
      </c>
      <c r="J29" s="5" t="inlineStr">
        <is>
          <t>Legal review + sponsor test</t>
        </is>
      </c>
      <c r="K29" s="10" t="inlineStr">
        <is>
          <t>placeholder_unresolved</t>
        </is>
      </c>
    </row>
    <row r="30">
      <c r="A30" s="4" t="inlineStr">
        <is>
          <t>A20</t>
        </is>
      </c>
      <c r="B30" s="5" t="inlineStr">
        <is>
          <t>Revenue per qualified action (Model C)</t>
        </is>
      </c>
      <c r="C30" s="6" t="n">
        <v>2</v>
      </c>
      <c r="D30" s="6" t="n">
        <v>8</v>
      </c>
      <c r="E30" s="6" t="n">
        <v>25</v>
      </c>
      <c r="F30" s="5" t="inlineStr">
        <is>
          <t>USD/action</t>
        </is>
      </c>
      <c r="G30" s="5" t="inlineStr">
        <is>
          <t>PLACEHOLDER. No comparable per-action healthcare sponsorship pricing found (pharma affiliate/performance marketing rates vary widely and are not disclosed publicly at the per-action level for this use case); analytic placeholder only. Model C is flagged for legal review per decision_framework.md gate 4 (no prohibited referral/steering incentives).</t>
        </is>
      </c>
      <c r="H30" s="5" t="inlineStr">
        <is>
          <t>unresolved</t>
        </is>
      </c>
      <c r="I30" s="5" t="inlineStr">
        <is>
          <t>high</t>
        </is>
      </c>
      <c r="J30" s="5" t="inlineStr">
        <is>
          <t>Legal review + sponsor test</t>
        </is>
      </c>
      <c r="K30" s="10" t="inlineStr">
        <is>
          <t>placeholder_unresolved</t>
        </is>
      </c>
    </row>
    <row r="31">
      <c r="A31" s="4" t="inlineStr">
        <is>
          <t>A21</t>
        </is>
      </c>
      <c r="B31" s="5" t="inlineStr">
        <is>
          <t>Employer/payer utilization adjustment (share of covered lives actively engaging)</t>
        </is>
      </c>
      <c r="C31" s="6" t="n">
        <v>30</v>
      </c>
      <c r="D31" s="6" t="n">
        <v>55</v>
      </c>
      <c r="E31" s="6" t="n">
        <v>80</v>
      </c>
      <c r="F31" s="5" t="inlineStr">
        <is>
          <t>% (0-100)</t>
        </is>
      </c>
      <c r="G31" s="5" t="inlineStr">
        <is>
          <t>PLACEHOLDER. General digital-health-benefit engagement/utilization rates commonly cited in employer-benefits industry commentary span roughly this range; not sourced to a specific Legion employer pilot.</t>
        </is>
      </c>
      <c r="H31" s="5" t="inlineStr">
        <is>
          <t>unresolved</t>
        </is>
      </c>
      <c r="I31" s="5" t="inlineStr">
        <is>
          <t>medium</t>
        </is>
      </c>
      <c r="J31" s="5" t="inlineStr">
        <is>
          <t>Employer buyer interviews</t>
        </is>
      </c>
      <c r="K31" s="12" t="inlineStr">
        <is>
          <t>placeholder_external</t>
        </is>
      </c>
    </row>
    <row r="32">
      <c r="A32" s="4" t="inlineStr">
        <is>
          <t>A22</t>
        </is>
      </c>
      <c r="B32" s="5" t="inlineStr">
        <is>
          <t>Traditional pathway trust/churn baseline conversion rate (pre-sponsorship)</t>
        </is>
      </c>
      <c r="C32" s="6" t="n">
        <v>55</v>
      </c>
      <c r="D32" s="6" t="n">
        <v>70</v>
      </c>
      <c r="E32" s="6" t="n">
        <v>85</v>
      </c>
      <c r="F32" s="5" t="inlineStr">
        <is>
          <t>% (0-100) booking-to-continuation</t>
        </is>
      </c>
      <c r="G32" s="5" t="inlineStr">
        <is>
          <t>PLACEHOLDER. No Legion funnel data. Placeholder baseline against which A10/A11 percentage-point declines are applied; order-of-magnitude only.</t>
        </is>
      </c>
      <c r="H32" s="5" t="inlineStr">
        <is>
          <t>unresolved</t>
        </is>
      </c>
      <c r="I32" s="5" t="inlineStr">
        <is>
          <t>medium</t>
        </is>
      </c>
      <c r="J32" s="5" t="inlineStr">
        <is>
          <t>CEO data / product analytics</t>
        </is>
      </c>
      <c r="K32" s="10" t="inlineStr">
        <is>
          <t>placeholder_unresolved</t>
        </is>
      </c>
    </row>
    <row r="33">
      <c r="A33" s="4" t="inlineStr">
        <is>
          <t>A23</t>
        </is>
      </c>
      <c r="B33" s="5" t="inlineStr">
        <is>
          <t>Reference sponsor contract count (Model B cost-allocation denominator)</t>
        </is>
      </c>
      <c r="C33" s="6" t="n">
        <v>1</v>
      </c>
      <c r="D33" s="6" t="n">
        <v>3</v>
      </c>
      <c r="E33" s="6" t="n">
        <v>10</v>
      </c>
      <c r="F33" s="5" t="inlineStr">
        <is>
          <t>contracts</t>
        </is>
      </c>
      <c r="G33" s="5" t="inlineStr">
        <is>
          <t>Illustrative reference count of simultaneously-active sponsor contracts, used ONLY to split A08 (sales+servicing cost per contract) across the exposed patient base in the fully-loaded-cost calculation. Not a market-sized estimate of achievable sponsor count (see Path-to-1B sponsor-count backsolve in model_readme.md for the actual scale question). Held at base case across all low/base/high scenarios (policy-lever/normalization constant, not a pessimism/optimism axis), analogous to A12/A14 treatment.</t>
        </is>
      </c>
      <c r="H33" s="5" t="inlineStr">
        <is>
          <t>low</t>
        </is>
      </c>
      <c r="I33" s="5" t="inlineStr">
        <is>
          <t>medium</t>
        </is>
      </c>
      <c r="J33" s="5" t="inlineStr">
        <is>
          <t>Sponsor-side test</t>
        </is>
      </c>
      <c r="K33" s="10" t="inlineStr">
        <is>
          <t>placeholder_unresolved</t>
        </is>
      </c>
    </row>
    <row r="34">
      <c r="A34" s="4" t="inlineStr">
        <is>
          <t>A24</t>
        </is>
      </c>
      <c r="B34" s="5" t="inlineStr">
        <is>
          <t>Reference annual sponsor contract value (Model B illustrative denominator)</t>
        </is>
      </c>
      <c r="C34" s="6" t="n">
        <v>100000</v>
      </c>
      <c r="D34" s="6" t="n">
        <v>250000</v>
      </c>
      <c r="E34" s="6" t="n">
        <v>750000</v>
      </c>
      <c r="F34" s="5" t="inlineStr">
        <is>
          <t>USD/contract/yr</t>
        </is>
      </c>
      <c r="G34" s="5" t="inlineStr">
        <is>
          <t>Illustrative single-sponsor contract size used only for the Path-to-1B required-sponsor-count/concentration backsolve and as a cross-check denominator against A05's external-anchor ARPU. Order-of-magnitude anchored to comparable_notes.md pharma-agency-retainer/CSO contract-size discussion ($5K-$50M cited across sources, narrowed here to a single-sponsor range); not a Legion-specific contract. Held at base case across all low/base/high scenarios (policy-lever/normalization constant), analogous to A12/A14 treatment.</t>
        </is>
      </c>
      <c r="H34" s="5" t="inlineStr">
        <is>
          <t>low</t>
        </is>
      </c>
      <c r="I34" s="5" t="inlineStr">
        <is>
          <t>medium</t>
        </is>
      </c>
      <c r="J34" s="5" t="inlineStr">
        <is>
          <t>Sponsor-side test</t>
        </is>
      </c>
      <c r="K34" s="11" t="inlineStr">
        <is>
          <t>estimated_external</t>
        </is>
      </c>
    </row>
    <row r="35">
      <c r="A35" s="4" t="inlineStr">
        <is>
          <t>A25</t>
        </is>
      </c>
      <c r="B35" s="5" t="inlineStr">
        <is>
          <t>Core-book revenue exposure per patient (Legion existing fee-for-service revenue per active patient/yr; core-book contagion term)</t>
        </is>
      </c>
      <c r="C35" s="6" t="n">
        <v>811</v>
      </c>
      <c r="D35" s="6" t="n">
        <v>811</v>
      </c>
      <c r="E35" s="6" t="n">
        <v>2025</v>
      </c>
      <c r="F35" s="5" t="inlineStr">
        <is>
          <t>USD/patient/yr</t>
        </is>
      </c>
      <c r="G35" s="5" t="inlineStr">
        <is>
          <t>CEO-provided directional data (Phase 5, 2026-07-08, data/ceo_data_integration.md #3/#4/#9), REPLACES the prior analyst-anchored placeholder (was 500/1500/4000, derived pre-CEO-data from A01 x A03 grossed up ~53% GM). Now computed directly: Base=Low=$811 = 5.3 historical visits/patient/yr (A03 base) x $153/completed-visit revenue (CEO data point #4) = $810.9, rounded. High=$2,025 = ~13.2 mature/continuously-active-cohort visits/yr (A03 high) x $153 = $2,019.6, rounded to $2,025 to match the CEO-cited mature-cohort booked LTV (A29: 8.1x x $250 CAC = $2,025) exactly. Low=Base is deliberate (both use the historical-average patient-year figure; no CEO-sourced figure exists below it, so low is NOT set lower as a matter of oversight). Per A03's tension note: do NOT blend base and high into one number -- they describe different patient populations (average vs. mature/continuously-active cohort).</t>
        </is>
      </c>
      <c r="H35" s="5" t="inlineStr">
        <is>
          <t>medium</t>
        </is>
      </c>
      <c r="I35" s="5" t="inlineStr">
        <is>
          <t>high</t>
        </is>
      </c>
      <c r="J35" s="5" t="inlineStr">
        <is>
          <t>CEO data</t>
        </is>
      </c>
      <c r="K35" s="7" t="inlineStr">
        <is>
          <t>ceo_directional</t>
        </is>
      </c>
    </row>
    <row r="36">
      <c r="A36" s="4" t="inlineStr">
        <is>
          <t>A26</t>
        </is>
      </c>
      <c r="B36" s="5" t="inlineStr">
        <is>
          <t>Core-book trust-spillover rate (share of core-book revenue at risk from sponsorship-driven trust damage bleeding into Legion's existing FFS patient relationship)</t>
        </is>
      </c>
      <c r="C36" s="9" t="n">
        <v>0.1</v>
      </c>
      <c r="D36" s="9" t="n">
        <v>0.5</v>
      </c>
      <c r="E36" s="9" t="n">
        <v>2.5</v>
      </c>
      <c r="F36" s="5" t="inlineStr">
        <is>
          <t>% (0-100) of core-book revenue</t>
        </is>
      </c>
      <c r="G36" s="5" t="inlineStr">
        <is>
          <t>PLACEHOLDER — structurally new assumption added in v2 (2026-07-07) post strategy_red_team.md Attack #5 / 2.5. No patient concept test has examined whether sponsorship-driven trust damage spills beyond the sponsored tier into a patient's separate, existing paying relationship with Legion's core FFS service line. Base case set deliberately small (0.5%) so the resulting core-book contagion cost stays visibly provisional in the model grid rather than reading as a considered central estimate; low/high span roughly an order of magnitude around that base to show the term is far from resolved, not to imply precision.</t>
        </is>
      </c>
      <c r="H36" s="5" t="inlineStr">
        <is>
          <t>unresolved</t>
        </is>
      </c>
      <c r="I36" s="5" t="inlineStr">
        <is>
          <t>high</t>
        </is>
      </c>
      <c r="J36" s="5" t="inlineStr">
        <is>
          <t>Patient concept test</t>
        </is>
      </c>
      <c r="K36" s="10" t="inlineStr">
        <is>
          <t>placeholder_unresolved</t>
        </is>
      </c>
    </row>
    <row r="37">
      <c r="A37" s="4" t="inlineStr">
        <is>
          <t>A27</t>
        </is>
      </c>
      <c r="B37" s="5" t="inlineStr">
        <is>
          <t>Reference single-grantor annual grant size (Model E scale-backsolve denominator)</t>
        </is>
      </c>
      <c r="C37" s="6" t="n">
        <v>100000</v>
      </c>
      <c r="D37" s="6" t="n">
        <v>750000</v>
      </c>
      <c r="E37" s="6" t="n">
        <v>3000000</v>
      </c>
      <c r="F37" s="5" t="inlineStr">
        <is>
          <t>USD/grantor/yr</t>
        </is>
      </c>
      <c r="G37" s="5" t="inlineStr">
        <is>
          <t>Illustrative single-foundation/grantor annual grant size used only for the Path-to-1B required-grantor-count/concentration backsolve, added in v2 (2026-07-07) post strategy_red_team.md Attack 7.2 ('apply the same backsolve rigor to Model E ... that was applied to Model B'). Not a market-sizing estimate of achievable grantor count. Held at base case across all low/base/high scenarios (policy-lever/normalization constant), analogous to A23/A24 treatment. Value range matches A16 (Foundation/grant annual funding pool) since both describe a single foundation's typical annual grant size; kept as a separate assumption id from A16 for backsolve auditability — A16 drives the Model E ARPU-grid grant-pool figure directly (and varies by scenario), while A27 is reserved for the scale-backsolve denominator (held fixed at base, mirroring A24's role for Model B).</t>
        </is>
      </c>
      <c r="H37" s="5" t="inlineStr">
        <is>
          <t>low</t>
        </is>
      </c>
      <c r="I37" s="5" t="inlineStr">
        <is>
          <t>medium</t>
        </is>
      </c>
      <c r="J37" s="5" t="inlineStr">
        <is>
          <t>Foundation partner interviews</t>
        </is>
      </c>
      <c r="K37" s="10" t="inlineStr">
        <is>
          <t>placeholder_unresolved</t>
        </is>
      </c>
    </row>
    <row r="38">
      <c r="A38" s="4" t="inlineStr">
        <is>
          <t>A28</t>
        </is>
      </c>
      <c r="B38" s="5" t="inlineStr">
        <is>
          <t>Customer acquisition cost (CAC)</t>
        </is>
      </c>
      <c r="C38" s="6" t="n">
        <v>250</v>
      </c>
      <c r="D38" s="6" t="n">
        <v>250</v>
      </c>
      <c r="E38" s="6" t="n">
        <v>250</v>
      </c>
      <c r="F38" s="5" t="inlineStr">
        <is>
          <t>USD/acquired patient</t>
        </is>
      </c>
      <c r="G38" s="5" t="inlineStr">
        <is>
          <t>CEO-provided directional data (Phase 5, 2026-07-08, data/ceo_data_integration.md #8): CAC ~$250. Single point estimate -- no range given by the CEO, so low=base=high=250 (not a distribution). NEW assumption added post-CEO-data-integration; feeds ONLY the new 'free care as acquisition channel' funnel-lens comparison (A02b vs A28, see model_readme.md v3 / model/funnel_lens.csv and model.py free_care_acquisition_breakeven_conversion_rate()) -- not wired into the pathway/model economics grid (outputs.csv/sensitivity_outputs.csv), which is unaffected by this row.</t>
        </is>
      </c>
      <c r="H38" s="5" t="inlineStr">
        <is>
          <t>medium</t>
        </is>
      </c>
      <c r="I38" s="5" t="inlineStr">
        <is>
          <t>medium</t>
        </is>
      </c>
      <c r="J38" s="5" t="inlineStr">
        <is>
          <t>CEO data</t>
        </is>
      </c>
      <c r="K38" s="7" t="inlineStr">
        <is>
          <t>ceo_directional</t>
        </is>
      </c>
    </row>
    <row r="39">
      <c r="A39" s="4" t="inlineStr">
        <is>
          <t>A29</t>
        </is>
      </c>
      <c r="B39" s="5" t="inlineStr">
        <is>
          <t>Mature-cohort booked-revenue LTV/CAC multiple</t>
        </is>
      </c>
      <c r="C39" s="9" t="n">
        <v>8.1</v>
      </c>
      <c r="D39" s="9" t="n">
        <v>8.1</v>
      </c>
      <c r="E39" s="9" t="n">
        <v>8.1</v>
      </c>
      <c r="F39" s="5" t="inlineStr">
        <is>
          <t>x (LTV/CAC ratio)</t>
        </is>
      </c>
      <c r="G39" s="5" t="inlineStr">
        <is>
          <t>CEO-provided directional data (Phase 5, 2026-07-08, data/ceo_data_integration.md #9): mature-cohort booked-revenue LTV/CAC ~8.1x. Single point estimate (no range given). Implies booked LTV ~= 8.1 x $250 (A28) = $2,025/patient, consistent with A25's high case and A03's mature-cohort ~13.2-visits/yr figure (2,025/153~=13.2 visits). Context/cross-check only -- not an independent input to any pathway/model formula in model.py.</t>
        </is>
      </c>
      <c r="H39" s="5" t="inlineStr">
        <is>
          <t>medium</t>
        </is>
      </c>
      <c r="I39" s="5" t="inlineStr">
        <is>
          <t>low</t>
        </is>
      </c>
      <c r="J39" s="5" t="inlineStr">
        <is>
          <t>CEO data</t>
        </is>
      </c>
      <c r="K39" s="7" t="inlineStr">
        <is>
          <t>ceo_directional</t>
        </is>
      </c>
    </row>
    <row r="40">
      <c r="A40" s="4" t="inlineStr">
        <is>
          <t>A30</t>
        </is>
      </c>
      <c r="B40" s="5" t="inlineStr">
        <is>
          <t>Mature-cohort gross-margin LTV/CAC multiple</t>
        </is>
      </c>
      <c r="C40" s="9" t="n">
        <v>4.2</v>
      </c>
      <c r="D40" s="9" t="n">
        <v>4.2</v>
      </c>
      <c r="E40" s="9" t="n">
        <v>4.2</v>
      </c>
      <c r="F40" s="5" t="inlineStr">
        <is>
          <t>x (LTV/CAC ratio)</t>
        </is>
      </c>
      <c r="G40" s="5" t="inlineStr">
        <is>
          <t>CEO-provided directional data (Phase 5, 2026-07-08, data/ceo_data_integration.md #9): mature-cohort gross-margin LTV/CAC ~4.2x. Single point estimate (no range given). Implies gross-margin LTV ~= 4.2 x $250 (A28) = $1,050/patient. Context/cross-check only -- not wired into any pathway/model formula in model.py.</t>
        </is>
      </c>
      <c r="H40" s="5" t="inlineStr">
        <is>
          <t>medium</t>
        </is>
      </c>
      <c r="I40" s="5" t="inlineStr">
        <is>
          <t>low</t>
        </is>
      </c>
      <c r="J40" s="5" t="inlineStr">
        <is>
          <t>CEO data</t>
        </is>
      </c>
      <c r="K40" s="7" t="inlineStr">
        <is>
          <t>ceo_directional</t>
        </is>
      </c>
    </row>
    <row r="42">
      <c r="A42" s="14" t="inlineStr">
        <is>
          <t>Status legend:</t>
        </is>
      </c>
    </row>
    <row r="43">
      <c r="A43" s="2" t="inlineStr">
        <is>
          <t xml:space="preserve">  - placeholder_unresolved / awaiting_data / awaiting_research = no external or Legion source yet; analytic placeholder only.</t>
        </is>
      </c>
    </row>
    <row r="44">
      <c r="A44" s="2" t="inlineStr">
        <is>
          <t xml:space="preserve">  - placeholder_external = PLACEHOLDER pending Legion data, anchored to an external benchmark (see Source column).</t>
        </is>
      </c>
    </row>
    <row r="45">
      <c r="A45" s="2" t="inlineStr">
        <is>
          <t xml:space="preserve">  - estimated_external = sourced to an external comparable (research/comparable_notes.md); not Legion data.</t>
        </is>
      </c>
    </row>
    <row r="46">
      <c r="A46" s="2" t="inlineStr">
        <is>
          <t xml:space="preserve">  - set_provisional = lead-judgment policy lever (e.g., target margin), not an empirical estimate.</t>
        </is>
      </c>
    </row>
    <row r="47">
      <c r="A47" s="2" t="inlineStr">
        <is>
          <t xml:space="preserve">  - ceo_directional (NEW, Phase 5, 2026-07-08) = founder-provided directional estimate (data/ceo_data_integration.md); confidence medium -- better than an external benchmark, but not an audited Legion export.</t>
        </is>
      </c>
    </row>
    <row r="48">
      <c r="A48" s="2" t="inlineStr">
        <is>
          <t xml:space="preserve">  - ceo_directional_derived (NEW, Phase 5) = built from a CEO-provided directional figure plus an explicit, shown analyst derivation (see A02b notes); the CEO input itself is directional, the derivation math is analyst judgment.</t>
        </is>
      </c>
    </row>
    <row r="49">
      <c r="A49" s="2" t="inlineStr">
        <is>
          <t xml:space="preserve">  - NONE of these rows are Legion-confirmed audited data, including the ceo_directional rows above. Replace with Legion actuals as they arrive (see model_readme.md).</t>
        </is>
      </c>
    </row>
  </sheetData>
  <mergeCells count="1"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0" customWidth="1" min="9" max="9"/>
  </cols>
  <sheetData>
    <row r="1">
      <c r="A1" s="1" t="inlineStr">
        <is>
          <t>Unit Economics — Three Care Pathways</t>
        </is>
      </c>
    </row>
    <row r="2">
      <c r="A2" s="2" t="inlineStr">
        <is>
          <t>Care-delivery (COGS-only) cost and fully loaded incremental cost per patient per year, by pathway. All cells reference 01_Assumptions live (Base column unless noted). See model.py for formula source.</t>
        </is>
      </c>
    </row>
    <row r="4">
      <c r="A4" s="15" t="inlineStr">
        <is>
          <t>1. Care-Delivery Cost per Patient per Year (COGS only) — Low / Base / High</t>
        </is>
      </c>
      <c r="B4" s="16" t="n"/>
      <c r="C4" s="16" t="n"/>
      <c r="D4" s="16" t="n"/>
      <c r="E4" s="16" t="n"/>
      <c r="F4" s="16" t="n"/>
      <c r="G4" s="16" t="n"/>
    </row>
    <row r="5">
      <c r="A5" s="3" t="inlineStr">
        <is>
          <t>Pathway</t>
        </is>
      </c>
      <c r="B5" s="3" t="inlineStr">
        <is>
          <t>Cost/unit assumption</t>
        </is>
      </c>
      <c r="C5" s="3" t="inlineStr">
        <is>
          <t>Units/patient/yr assumption</t>
        </is>
      </c>
      <c r="D5" s="3" t="inlineStr">
        <is>
          <t>Cost — Low</t>
        </is>
      </c>
      <c r="E5" s="3" t="inlineStr">
        <is>
          <t>Cost — Base</t>
        </is>
      </c>
      <c r="F5" s="3" t="inlineStr">
        <is>
          <t>Cost — High</t>
        </is>
      </c>
      <c r="G5" s="3" t="inlineStr">
        <is>
          <t>Formula</t>
        </is>
      </c>
    </row>
    <row r="6">
      <c r="A6" s="17" t="inlineStr">
        <is>
          <t>Traditional clinician visit</t>
        </is>
      </c>
      <c r="B6" s="17" t="inlineStr">
        <is>
          <t>A01 (cost/unit)</t>
        </is>
      </c>
      <c r="C6" s="17" t="inlineStr">
        <is>
          <t>A03 (units/yr)</t>
        </is>
      </c>
      <c r="D6" s="18">
        <f>'01_Assumptions'!C5*'01_Assumptions'!C8</f>
        <v/>
      </c>
      <c r="E6" s="18">
        <f>'01_Assumptions'!D5*'01_Assumptions'!D8</f>
        <v/>
      </c>
      <c r="F6" s="18">
        <f>'01_Assumptions'!E5*'01_Assumptions'!E8</f>
        <v/>
      </c>
      <c r="G6" s="19" t="inlineStr">
        <is>
          <t>cost_per_unit x units_per_patient_per_yr</t>
        </is>
      </c>
    </row>
    <row r="7">
      <c r="A7" s="17" t="inlineStr">
        <is>
          <t>AI-supported clinician care</t>
        </is>
      </c>
      <c r="B7" s="17" t="inlineStr">
        <is>
          <t>A02 (cost/unit)</t>
        </is>
      </c>
      <c r="C7" s="17" t="inlineStr">
        <is>
          <t>A03b (units/yr)</t>
        </is>
      </c>
      <c r="D7" s="18">
        <f>'01_Assumptions'!C6*'01_Assumptions'!C9</f>
        <v/>
      </c>
      <c r="E7" s="18">
        <f>'01_Assumptions'!D6*'01_Assumptions'!D9</f>
        <v/>
      </c>
      <c r="F7" s="18">
        <f>'01_Assumptions'!E6*'01_Assumptions'!E9</f>
        <v/>
      </c>
      <c r="G7" s="19" t="inlineStr">
        <is>
          <t>cost_per_unit x units_per_patient_per_yr</t>
        </is>
      </c>
    </row>
    <row r="8">
      <c r="A8" s="17" t="inlineStr">
        <is>
          <t>Mostly-AI-driven care episode</t>
        </is>
      </c>
      <c r="B8" s="17" t="inlineStr">
        <is>
          <t>A02b (cost/unit)</t>
        </is>
      </c>
      <c r="C8" s="17" t="inlineStr">
        <is>
          <t>A04 (units/yr)</t>
        </is>
      </c>
      <c r="D8" s="18">
        <f>'01_Assumptions'!C7*'01_Assumptions'!C10</f>
        <v/>
      </c>
      <c r="E8" s="18">
        <f>'01_Assumptions'!D7*'01_Assumptions'!D10</f>
        <v/>
      </c>
      <c r="F8" s="18">
        <f>'01_Assumptions'!E7*'01_Assumptions'!E10</f>
        <v/>
      </c>
      <c r="G8" s="19" t="inlineStr">
        <is>
          <t>cost_per_unit x units_per_patient_per_yr</t>
        </is>
      </c>
    </row>
    <row r="10">
      <c r="A10" s="15" t="inlineStr">
        <is>
          <t>2. Fully Loaded Incremental Cost per Patient per Year (Base Case) — by Pathway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2" t="inlineStr">
        <is>
          <t>Note: sponsor-servicing, commercial, and compliance costs are allocated per patient and do not vary by pathway (they depend on sponsor-contract structure and eligible population, A08/A09/A23/A13). Trust-churn cost uses the Model B external-anchor ARPU (A05 Base) as the revenue-at-risk proxy, matching sensitivity.py's break-even solver convention (documented there as a stable approximation since trust cost is a small share of ARPU). Core-Book Contagion (NEW v2, added post strategy_red_team.md Attack #5/2.5) is a SECOND, separate trust-cost term netting a placeholder spillover rate (A26) against Legion's EXISTING core fee-for-service revenue per patient (A25), not sponsor-tier ARPU — included in every row, base value deliberately small so it remains visibly provisional.</t>
        </is>
      </c>
    </row>
    <row r="12">
      <c r="A12" s="3" t="inlineStr">
        <is>
          <t>Pathway</t>
        </is>
      </c>
      <c r="B12" s="3" t="inlineStr">
        <is>
          <t>Care Delivery</t>
        </is>
      </c>
      <c r="C12" s="3" t="inlineStr">
        <is>
          <t>Sponsor Servicing</t>
        </is>
      </c>
      <c r="D12" s="3" t="inlineStr">
        <is>
          <t>Commercial (Sales)</t>
        </is>
      </c>
      <c r="E12" s="3" t="inlineStr">
        <is>
          <t>Compliance/Legal</t>
        </is>
      </c>
      <c r="F12" s="3" t="inlineStr">
        <is>
          <t>Trust/Churn (Sponsor-Tier)</t>
        </is>
      </c>
      <c r="G12" s="3" t="inlineStr">
        <is>
          <t>Core-Book Contagion (NEW v2)</t>
        </is>
      </c>
      <c r="H12" s="3" t="inlineStr">
        <is>
          <t>Fully Loaded Cost</t>
        </is>
      </c>
      <c r="I12" s="3" t="inlineStr">
        <is>
          <t>Required ARPU @ m=25%</t>
        </is>
      </c>
    </row>
    <row r="13">
      <c r="A13" s="17" t="inlineStr">
        <is>
          <t>Traditional clinician visit</t>
        </is>
      </c>
      <c r="B13" s="20">
        <f>E6</f>
        <v/>
      </c>
      <c r="C13" s="21">
        <f>0.5*('01_Assumptions'!D18*'01_Assumptions'!D33)/'01_Assumptions'!D23</f>
        <v/>
      </c>
      <c r="D13" s="21">
        <f>0.5*('01_Assumptions'!D18*'01_Assumptions'!D33)/'01_Assumptions'!D23</f>
        <v/>
      </c>
      <c r="E13" s="21">
        <f>'01_Assumptions'!D19/'01_Assumptions'!D23</f>
        <v/>
      </c>
      <c r="F13" s="21">
        <f>'01_Assumptions'!D11*('01_Assumptions'!D20+'01_Assumptions'!D21)/100</f>
        <v/>
      </c>
      <c r="G13" s="21">
        <f>'01_Assumptions'!D35*'01_Assumptions'!D36/100</f>
        <v/>
      </c>
      <c r="H13" s="20">
        <f>B13+C13+D13+E13+F13+G13</f>
        <v/>
      </c>
      <c r="I13" s="18">
        <f>H13/(1-'01_Assumptions'!D24/100)</f>
        <v/>
      </c>
    </row>
    <row r="14">
      <c r="A14" s="17" t="inlineStr">
        <is>
          <t>AI-supported clinician care</t>
        </is>
      </c>
      <c r="B14" s="20">
        <f>E7</f>
        <v/>
      </c>
      <c r="C14" s="21">
        <f>0.5*('01_Assumptions'!D18*'01_Assumptions'!D33)/'01_Assumptions'!D23</f>
        <v/>
      </c>
      <c r="D14" s="21">
        <f>0.5*('01_Assumptions'!D18*'01_Assumptions'!D33)/'01_Assumptions'!D23</f>
        <v/>
      </c>
      <c r="E14" s="21">
        <f>'01_Assumptions'!D19/'01_Assumptions'!D23</f>
        <v/>
      </c>
      <c r="F14" s="21">
        <f>'01_Assumptions'!D11*('01_Assumptions'!D20+'01_Assumptions'!D21)/100</f>
        <v/>
      </c>
      <c r="G14" s="21">
        <f>'01_Assumptions'!D35*'01_Assumptions'!D36/100</f>
        <v/>
      </c>
      <c r="H14" s="20">
        <f>B14+C14+D14+E14+F14+G14</f>
        <v/>
      </c>
      <c r="I14" s="18">
        <f>H14/(1-'01_Assumptions'!D24/100)</f>
        <v/>
      </c>
    </row>
    <row r="15">
      <c r="A15" s="17" t="inlineStr">
        <is>
          <t>Mostly-AI-driven care episode</t>
        </is>
      </c>
      <c r="B15" s="20">
        <f>E8</f>
        <v/>
      </c>
      <c r="C15" s="21">
        <f>0.5*('01_Assumptions'!D18*'01_Assumptions'!D33)/'01_Assumptions'!D23</f>
        <v/>
      </c>
      <c r="D15" s="21">
        <f>0.5*('01_Assumptions'!D18*'01_Assumptions'!D33)/'01_Assumptions'!D23</f>
        <v/>
      </c>
      <c r="E15" s="21">
        <f>'01_Assumptions'!D19/'01_Assumptions'!D23</f>
        <v/>
      </c>
      <c r="F15" s="21">
        <f>'01_Assumptions'!D11*('01_Assumptions'!D20+'01_Assumptions'!D21)/100</f>
        <v/>
      </c>
      <c r="G15" s="21">
        <f>'01_Assumptions'!D35*'01_Assumptions'!D36/100</f>
        <v/>
      </c>
      <c r="H15" s="20">
        <f>B15+C15+D15+E15+F15+G15</f>
        <v/>
      </c>
      <c r="I15" s="18">
        <f>H15/(1-'01_Assumptions'!D24/100)</f>
        <v/>
      </c>
    </row>
    <row r="17">
      <c r="A17" s="15" t="inlineStr">
        <is>
          <t>3. Gross Margin vs. Contribution Margin (illustrative, using Model B external-anchor ARPU)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Gross margin nets out care-delivery COGS only. Contribution margin nets out the FULL loaded cost (care + servicing + commercial + compliance + trust + core-book contagion, NEW v2). Legion's reported ~53% visit gross margin (CEO context, not modeled here) is the narrower measure.</t>
        </is>
      </c>
    </row>
    <row r="19">
      <c r="A19" s="3" t="inlineStr">
        <is>
          <t>Pathway</t>
        </is>
      </c>
      <c r="B19" s="3" t="inlineStr">
        <is>
          <t>Illustrative Revenue (Model B anchor ARPU)</t>
        </is>
      </c>
      <c r="C19" s="3" t="inlineStr">
        <is>
          <t>Care-Delivery Cost</t>
        </is>
      </c>
      <c r="D19" s="3" t="inlineStr">
        <is>
          <t>Gross Margin %</t>
        </is>
      </c>
      <c r="E19" s="3" t="inlineStr">
        <is>
          <t>Fully Loaded Cost</t>
        </is>
      </c>
      <c r="F19" s="3" t="inlineStr">
        <is>
          <t>Contribution Margin %</t>
        </is>
      </c>
      <c r="G19" t="inlineStr"/>
      <c r="H19" t="inlineStr"/>
    </row>
    <row r="20">
      <c r="A20" s="17" t="inlineStr">
        <is>
          <t>Traditional clinician visit</t>
        </is>
      </c>
      <c r="B20" s="21">
        <f>'01_Assumptions'!D11*'01_Assumptions'!D17/100</f>
        <v/>
      </c>
      <c r="C20" s="20">
        <f>E6</f>
        <v/>
      </c>
      <c r="D20" s="22">
        <f>(B20-C20)/B20</f>
        <v/>
      </c>
      <c r="E20" s="20">
        <f>H13</f>
        <v/>
      </c>
      <c r="F20" s="22">
        <f>(B20-E20)/B20</f>
        <v/>
      </c>
    </row>
    <row r="21">
      <c r="A21" s="17" t="inlineStr">
        <is>
          <t>AI-supported clinician care</t>
        </is>
      </c>
      <c r="B21" s="21">
        <f>'01_Assumptions'!D11*'01_Assumptions'!D17/100</f>
        <v/>
      </c>
      <c r="C21" s="20">
        <f>E7</f>
        <v/>
      </c>
      <c r="D21" s="22">
        <f>(B21-C21)/B21</f>
        <v/>
      </c>
      <c r="E21" s="20">
        <f>H14</f>
        <v/>
      </c>
      <c r="F21" s="22">
        <f>(B21-E21)/B21</f>
        <v/>
      </c>
    </row>
    <row r="22">
      <c r="A22" s="17" t="inlineStr">
        <is>
          <t>Mostly-AI-driven care episode</t>
        </is>
      </c>
      <c r="B22" s="21">
        <f>'01_Assumptions'!D11*'01_Assumptions'!D17/100</f>
        <v/>
      </c>
      <c r="C22" s="20">
        <f>E8</f>
        <v/>
      </c>
      <c r="D22" s="22">
        <f>(B22-C22)/B22</f>
        <v/>
      </c>
      <c r="E22" s="20">
        <f>H15</f>
        <v/>
      </c>
      <c r="F22" s="22">
        <f>(B22-E22)/B22</f>
        <v/>
      </c>
    </row>
  </sheetData>
  <mergeCells count="3">
    <mergeCell ref="A18:H18"/>
    <mergeCell ref="A2:H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5" customWidth="1" min="4" max="4"/>
    <col width="13" customWidth="1" min="5" max="5"/>
    <col width="13" customWidth="1" min="6" max="6"/>
    <col width="14" customWidth="1" min="7" max="7"/>
    <col width="16" customWidth="1" min="8" max="8"/>
    <col width="15" customWidth="1" min="9" max="9"/>
    <col width="17" customWidth="1" min="10" max="10"/>
    <col width="13" customWidth="1" min="11" max="11"/>
    <col width="18" customWidth="1" min="12" max="12"/>
  </cols>
  <sheetData>
    <row r="1">
      <c r="A1" s="1" t="inlineStr">
        <is>
          <t>Monetization Models A-E — Base-Case ARPU and Pathway x Model Grid</t>
        </is>
      </c>
    </row>
    <row r="2">
      <c r="A2" s="2" t="inlineStr">
        <is>
          <t>All formulas reference 01_Assumptions (Base column) live.</t>
        </is>
      </c>
    </row>
    <row r="4">
      <c r="A4" s="15" t="inlineStr">
        <is>
          <t>Model A — Programmatic Advertising</t>
        </is>
      </c>
      <c r="B4" s="16" t="n"/>
      <c r="C4" s="16" t="n"/>
      <c r="D4" s="16" t="n"/>
      <c r="E4" s="16" t="n"/>
      <c r="F4" s="16" t="n"/>
    </row>
    <row r="5">
      <c r="A5" s="2" t="inlineStr">
        <is>
          <t>impressions/patient/yr = sessions x ads/session x fill%</t>
        </is>
      </c>
    </row>
    <row r="6">
      <c r="A6" t="inlineStr">
        <is>
          <t>Impressions/patient/yr</t>
        </is>
      </c>
      <c r="B6" s="23">
        <f>'01_Assumptions'!D13*'01_Assumptions'!D14*'01_Assumptions'!D15/100</f>
        <v/>
      </c>
    </row>
    <row r="7">
      <c r="A7" t="inlineStr">
        <is>
          <t>Gross ad revenue/patient/yr (impressions x eCPM/1000)</t>
        </is>
      </c>
      <c r="B7" s="24">
        <f>B6*'01_Assumptions'!D12/1000</f>
        <v/>
      </c>
    </row>
    <row r="8">
      <c r="A8" t="inlineStr">
        <is>
          <t>Net ARPU (Model A) after platform fee</t>
        </is>
      </c>
      <c r="B8" s="25">
        <f>B7*(1-'01_Assumptions'!D16/100)</f>
        <v/>
      </c>
    </row>
    <row r="10">
      <c r="A10" s="15" t="inlineStr">
        <is>
          <t>Model B — Fixed-Fee Sponsorship</t>
        </is>
      </c>
      <c r="B10" s="16" t="n"/>
      <c r="C10" s="16" t="n"/>
      <c r="D10" s="16" t="n"/>
      <c r="E10" s="16" t="n"/>
      <c r="F10" s="16" t="n"/>
    </row>
    <row r="11">
      <c r="A11" t="inlineStr">
        <is>
          <t>Gross ARPU = (sponsors x contract value) / exposed patients  [A23 x A24 / A13]</t>
        </is>
      </c>
      <c r="B11" s="24">
        <f>('01_Assumptions'!D33*'01_Assumptions'!D34)/'01_Assumptions'!D23</f>
        <v/>
      </c>
    </row>
    <row r="12">
      <c r="A12" t="inlineStr">
        <is>
          <t>Less: sales+servicing cost per patient  [A08 x A23 / A13]</t>
        </is>
      </c>
      <c r="B12" s="24">
        <f>('01_Assumptions'!D18*'01_Assumptions'!D33)/'01_Assumptions'!D23</f>
        <v/>
      </c>
    </row>
    <row r="13">
      <c r="A13" t="inlineStr">
        <is>
          <t>Net ARPU (formula-derived, cost-allocation cross-check)</t>
        </is>
      </c>
      <c r="B13" s="24">
        <f>B11-B12</f>
        <v/>
      </c>
    </row>
    <row r="14">
      <c r="A14" t="inlineStr">
        <is>
          <t>External-anchor ARPU (A05) x sponsor renewal rate (A07) — USED IN GRID BELOW</t>
        </is>
      </c>
      <c r="B14" s="25">
        <f>'01_Assumptions'!D11*'01_Assumptions'!D17/100</f>
        <v/>
      </c>
    </row>
    <row r="16">
      <c r="A16" s="15" t="inlineStr">
        <is>
          <t>Model C — Performance Partnership  [FLAG: legal review required, model only — steering risk]</t>
        </is>
      </c>
      <c r="B16" s="16" t="n"/>
      <c r="C16" s="16" t="n"/>
      <c r="D16" s="16" t="n"/>
      <c r="E16" s="16" t="n"/>
      <c r="F16" s="16" t="n"/>
    </row>
    <row r="17">
      <c r="A17" s="26" t="inlineStr">
        <is>
          <t>Qualified actions/patient/yr = (action rate % ) x 12 months</t>
        </is>
      </c>
      <c r="B17" s="27">
        <f>'01_Assumptions'!D29/100*12</f>
        <v/>
      </c>
    </row>
    <row r="18">
      <c r="A18" t="inlineStr">
        <is>
          <t>ARPU (Model C) = actions/yr x revenue/action</t>
        </is>
      </c>
      <c r="B18" s="25">
        <f>B17*'01_Assumptions'!D30</f>
        <v/>
      </c>
    </row>
    <row r="20">
      <c r="A20" s="15" t="inlineStr">
        <is>
          <t>Model D — Employer/Payer Underwriting</t>
        </is>
      </c>
      <c r="B20" s="16" t="n"/>
      <c r="C20" s="16" t="n"/>
      <c r="D20" s="16" t="n"/>
      <c r="E20" s="16" t="n"/>
      <c r="F20" s="16" t="n"/>
    </row>
    <row r="21">
      <c r="A21" t="inlineStr">
        <is>
          <t>PMPM = A15 (USD/patient/yr) / 12</t>
        </is>
      </c>
      <c r="B21" s="24">
        <f>'01_Assumptions'!D25/12</f>
        <v/>
      </c>
    </row>
    <row r="22">
      <c r="A22" t="inlineStr">
        <is>
          <t>ARPU (Model D) = PMPM x 12 x utilization adjustment %</t>
        </is>
      </c>
      <c r="B22" s="25">
        <f>B21*12*'01_Assumptions'!D31/100</f>
        <v/>
      </c>
    </row>
    <row r="24">
      <c r="A24" s="15" t="inlineStr">
        <is>
          <t>Model E — Foundation/Nonprofit Underwriting</t>
        </is>
      </c>
      <c r="B24" s="16" t="n"/>
      <c r="C24" s="16" t="n"/>
      <c r="D24" s="16" t="n"/>
      <c r="E24" s="16" t="n"/>
      <c r="F24" s="16" t="n"/>
    </row>
    <row r="25">
      <c r="A25" t="inlineStr">
        <is>
          <t>ARPU (Model E) = grant $/yr / cohort size</t>
        </is>
      </c>
      <c r="B25" s="25">
        <f>'01_Assumptions'!D26/'01_Assumptions'!D27</f>
        <v/>
      </c>
    </row>
    <row r="27">
      <c r="A27" s="15" t="inlineStr">
        <is>
          <t>Base-Case Grid: Pathway x Model — Required vs. Actual ARPU, Gap, North-Star Margin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8">
      <c r="A28" s="2" t="inlineStr">
        <is>
          <t>Reproduces the base-case rows of outputs.csv (scenarios.py) with live formulas. North-star = risk-adjusted contribution margin per eligible patient per year (sponsor revenue - care cost - servicing - commercial - compliance - trust churn - core-book contagion, NEW v2). FIXED (Phase 5, 2026-07-08): this grid previously omitted the core-book contagion term from Fully Loaded Cost/North-Star entirely (understating both by A25xA26/100, ~$4.06/patient/yr at the new base case) -- added as its own column below so this tab now matches outputs.csv exactly.</t>
        </is>
      </c>
    </row>
    <row r="29">
      <c r="A29" s="3" t="inlineStr">
        <is>
          <t>Pathway</t>
        </is>
      </c>
      <c r="B29" s="3" t="inlineStr">
        <is>
          <t>Model</t>
        </is>
      </c>
      <c r="C29" s="3" t="inlineStr">
        <is>
          <t>Care Delivery Cost</t>
        </is>
      </c>
      <c r="D29" s="3" t="inlineStr">
        <is>
          <t>Sponsor Servicing</t>
        </is>
      </c>
      <c r="E29" s="3" t="inlineStr">
        <is>
          <t>Commercial</t>
        </is>
      </c>
      <c r="F29" s="3" t="inlineStr">
        <is>
          <t>Compliance</t>
        </is>
      </c>
      <c r="G29" s="3" t="inlineStr">
        <is>
          <t>Trust/Churn Cost</t>
        </is>
      </c>
      <c r="H29" s="3" t="inlineStr">
        <is>
          <t>Core-Book Contagion (NEW v2)</t>
        </is>
      </c>
      <c r="I29" s="3" t="inlineStr">
        <is>
          <t>Fully Loaded Cost</t>
        </is>
      </c>
      <c r="J29" s="3" t="inlineStr">
        <is>
          <t>Required ARPU (m=25%)</t>
        </is>
      </c>
      <c r="K29" s="3" t="inlineStr">
        <is>
          <t>Actual ARPU</t>
        </is>
      </c>
      <c r="L29" s="3" t="inlineStr">
        <is>
          <t>North-Star ($/patient/yr)</t>
        </is>
      </c>
    </row>
    <row r="30">
      <c r="A30" s="17" t="inlineStr">
        <is>
          <t>Traditional clinician visit</t>
        </is>
      </c>
      <c r="B30" s="17" t="inlineStr">
        <is>
          <t>A. Programmatic Ads</t>
        </is>
      </c>
      <c r="C30" s="20">
        <f>'02_Unit_Economics'!E6</f>
        <v/>
      </c>
      <c r="D30" s="21">
        <f>'02_Unit_Economics'!C13</f>
        <v/>
      </c>
      <c r="E30" s="21">
        <f>'02_Unit_Economics'!D13</f>
        <v/>
      </c>
      <c r="F30" s="21">
        <f>'02_Unit_Economics'!E13</f>
        <v/>
      </c>
      <c r="G30" s="21">
        <f>B8*('01_Assumptions'!D20+'01_Assumptions'!D21)/100</f>
        <v/>
      </c>
      <c r="H30" s="21">
        <f>'02_Unit_Economics'!G13</f>
        <v/>
      </c>
      <c r="I30" s="20">
        <f>C30+D30+E30+F30+G30+H30</f>
        <v/>
      </c>
      <c r="J30" s="20">
        <f>I30/(1-'01_Assumptions'!D24/100)</f>
        <v/>
      </c>
      <c r="K30" s="21">
        <f>B8</f>
        <v/>
      </c>
      <c r="L30" s="20">
        <f>K30-C30-D30-E30-F30-G30-H30</f>
        <v/>
      </c>
    </row>
    <row r="31">
      <c r="A31" s="17" t="inlineStr">
        <is>
          <t>Traditional clinician visit</t>
        </is>
      </c>
      <c r="B31" s="17" t="inlineStr">
        <is>
          <t>B. Fixed-Fee Sponsorship</t>
        </is>
      </c>
      <c r="C31" s="20">
        <f>'02_Unit_Economics'!E6</f>
        <v/>
      </c>
      <c r="D31" s="21">
        <f>'02_Unit_Economics'!C13</f>
        <v/>
      </c>
      <c r="E31" s="21">
        <f>'02_Unit_Economics'!D13</f>
        <v/>
      </c>
      <c r="F31" s="21">
        <f>'02_Unit_Economics'!E13</f>
        <v/>
      </c>
      <c r="G31" s="21">
        <f>B14*('01_Assumptions'!D20+'01_Assumptions'!D21)/100</f>
        <v/>
      </c>
      <c r="H31" s="21">
        <f>'02_Unit_Economics'!G13</f>
        <v/>
      </c>
      <c r="I31" s="20">
        <f>C31+D31+E31+F31+G31+H31</f>
        <v/>
      </c>
      <c r="J31" s="20">
        <f>I31/(1-'01_Assumptions'!D24/100)</f>
        <v/>
      </c>
      <c r="K31" s="21">
        <f>B14</f>
        <v/>
      </c>
      <c r="L31" s="20">
        <f>K31-C31-D31-E31-F31-G31-H31</f>
        <v/>
      </c>
    </row>
    <row r="32">
      <c r="A32" s="17" t="inlineStr">
        <is>
          <t>Traditional clinician visit</t>
        </is>
      </c>
      <c r="B32" s="17" t="inlineStr">
        <is>
          <t>C. Performance Partnership (legal review req'd)</t>
        </is>
      </c>
      <c r="C32" s="20">
        <f>'02_Unit_Economics'!E6</f>
        <v/>
      </c>
      <c r="D32" s="21">
        <f>'02_Unit_Economics'!C13</f>
        <v/>
      </c>
      <c r="E32" s="21">
        <f>'02_Unit_Economics'!D13</f>
        <v/>
      </c>
      <c r="F32" s="21">
        <f>'02_Unit_Economics'!E13</f>
        <v/>
      </c>
      <c r="G32" s="21">
        <f>B18*('01_Assumptions'!D20+'01_Assumptions'!D21)/100</f>
        <v/>
      </c>
      <c r="H32" s="21">
        <f>'02_Unit_Economics'!G13</f>
        <v/>
      </c>
      <c r="I32" s="20">
        <f>C32+D32+E32+F32+G32+H32</f>
        <v/>
      </c>
      <c r="J32" s="20">
        <f>I32/(1-'01_Assumptions'!D24/100)</f>
        <v/>
      </c>
      <c r="K32" s="21">
        <f>B18</f>
        <v/>
      </c>
      <c r="L32" s="20">
        <f>K32-C32-D32-E32-F32-G32-H32</f>
        <v/>
      </c>
    </row>
    <row r="33">
      <c r="A33" s="17" t="inlineStr">
        <is>
          <t>Traditional clinician visit</t>
        </is>
      </c>
      <c r="B33" s="17" t="inlineStr">
        <is>
          <t>D. Employer/Payer Underwriting</t>
        </is>
      </c>
      <c r="C33" s="20">
        <f>'02_Unit_Economics'!E6</f>
        <v/>
      </c>
      <c r="D33" s="21">
        <f>'02_Unit_Economics'!C13</f>
        <v/>
      </c>
      <c r="E33" s="21">
        <f>'02_Unit_Economics'!D13</f>
        <v/>
      </c>
      <c r="F33" s="21">
        <f>'02_Unit_Economics'!E13</f>
        <v/>
      </c>
      <c r="G33" s="21">
        <f>B22*('01_Assumptions'!D20+'01_Assumptions'!D21)/100</f>
        <v/>
      </c>
      <c r="H33" s="21">
        <f>'02_Unit_Economics'!G13</f>
        <v/>
      </c>
      <c r="I33" s="20">
        <f>C33+D33+E33+F33+G33+H33</f>
        <v/>
      </c>
      <c r="J33" s="20">
        <f>I33/(1-'01_Assumptions'!D24/100)</f>
        <v/>
      </c>
      <c r="K33" s="21">
        <f>B22</f>
        <v/>
      </c>
      <c r="L33" s="20">
        <f>K33-C33-D33-E33-F33-G33-H33</f>
        <v/>
      </c>
    </row>
    <row r="34">
      <c r="A34" s="17" t="inlineStr">
        <is>
          <t>Traditional clinician visit</t>
        </is>
      </c>
      <c r="B34" s="17" t="inlineStr">
        <is>
          <t>E. Foundation Underwriting</t>
        </is>
      </c>
      <c r="C34" s="20">
        <f>'02_Unit_Economics'!E6</f>
        <v/>
      </c>
      <c r="D34" s="21">
        <f>'02_Unit_Economics'!C13</f>
        <v/>
      </c>
      <c r="E34" s="21">
        <f>'02_Unit_Economics'!D13</f>
        <v/>
      </c>
      <c r="F34" s="21">
        <f>'02_Unit_Economics'!E13</f>
        <v/>
      </c>
      <c r="G34" s="21">
        <f>B25*('01_Assumptions'!D20+'01_Assumptions'!D21)/100</f>
        <v/>
      </c>
      <c r="H34" s="21">
        <f>'02_Unit_Economics'!G13</f>
        <v/>
      </c>
      <c r="I34" s="20">
        <f>C34+D34+E34+F34+G34+H34</f>
        <v/>
      </c>
      <c r="J34" s="20">
        <f>I34/(1-'01_Assumptions'!D24/100)</f>
        <v/>
      </c>
      <c r="K34" s="21">
        <f>B25</f>
        <v/>
      </c>
      <c r="L34" s="20">
        <f>K34-C34-D34-E34-F34-G34-H34</f>
        <v/>
      </c>
    </row>
    <row r="35">
      <c r="A35" s="17" t="inlineStr">
        <is>
          <t>AI-supported clinician care</t>
        </is>
      </c>
      <c r="B35" s="17" t="inlineStr">
        <is>
          <t>A. Programmatic Ads</t>
        </is>
      </c>
      <c r="C35" s="20">
        <f>'02_Unit_Economics'!E7</f>
        <v/>
      </c>
      <c r="D35" s="21">
        <f>'02_Unit_Economics'!C14</f>
        <v/>
      </c>
      <c r="E35" s="21">
        <f>'02_Unit_Economics'!D14</f>
        <v/>
      </c>
      <c r="F35" s="21">
        <f>'02_Unit_Economics'!E14</f>
        <v/>
      </c>
      <c r="G35" s="21">
        <f>B8*('01_Assumptions'!D20+'01_Assumptions'!D21)/100</f>
        <v/>
      </c>
      <c r="H35" s="21">
        <f>'02_Unit_Economics'!G14</f>
        <v/>
      </c>
      <c r="I35" s="20">
        <f>C35+D35+E35+F35+G35+H35</f>
        <v/>
      </c>
      <c r="J35" s="20">
        <f>I35/(1-'01_Assumptions'!D24/100)</f>
        <v/>
      </c>
      <c r="K35" s="21">
        <f>B8</f>
        <v/>
      </c>
      <c r="L35" s="20">
        <f>K35-C35-D35-E35-F35-G35-H35</f>
        <v/>
      </c>
    </row>
    <row r="36">
      <c r="A36" s="17" t="inlineStr">
        <is>
          <t>AI-supported clinician care</t>
        </is>
      </c>
      <c r="B36" s="17" t="inlineStr">
        <is>
          <t>B. Fixed-Fee Sponsorship</t>
        </is>
      </c>
      <c r="C36" s="20">
        <f>'02_Unit_Economics'!E7</f>
        <v/>
      </c>
      <c r="D36" s="21">
        <f>'02_Unit_Economics'!C14</f>
        <v/>
      </c>
      <c r="E36" s="21">
        <f>'02_Unit_Economics'!D14</f>
        <v/>
      </c>
      <c r="F36" s="21">
        <f>'02_Unit_Economics'!E14</f>
        <v/>
      </c>
      <c r="G36" s="21">
        <f>B14*('01_Assumptions'!D20+'01_Assumptions'!D21)/100</f>
        <v/>
      </c>
      <c r="H36" s="21">
        <f>'02_Unit_Economics'!G14</f>
        <v/>
      </c>
      <c r="I36" s="20">
        <f>C36+D36+E36+F36+G36+H36</f>
        <v/>
      </c>
      <c r="J36" s="20">
        <f>I36/(1-'01_Assumptions'!D24/100)</f>
        <v/>
      </c>
      <c r="K36" s="21">
        <f>B14</f>
        <v/>
      </c>
      <c r="L36" s="20">
        <f>K36-C36-D36-E36-F36-G36-H36</f>
        <v/>
      </c>
    </row>
    <row r="37">
      <c r="A37" s="17" t="inlineStr">
        <is>
          <t>AI-supported clinician care</t>
        </is>
      </c>
      <c r="B37" s="17" t="inlineStr">
        <is>
          <t>C. Performance Partnership (legal review req'd)</t>
        </is>
      </c>
      <c r="C37" s="20">
        <f>'02_Unit_Economics'!E7</f>
        <v/>
      </c>
      <c r="D37" s="21">
        <f>'02_Unit_Economics'!C14</f>
        <v/>
      </c>
      <c r="E37" s="21">
        <f>'02_Unit_Economics'!D14</f>
        <v/>
      </c>
      <c r="F37" s="21">
        <f>'02_Unit_Economics'!E14</f>
        <v/>
      </c>
      <c r="G37" s="21">
        <f>B18*('01_Assumptions'!D20+'01_Assumptions'!D21)/100</f>
        <v/>
      </c>
      <c r="H37" s="21">
        <f>'02_Unit_Economics'!G14</f>
        <v/>
      </c>
      <c r="I37" s="20">
        <f>C37+D37+E37+F37+G37+H37</f>
        <v/>
      </c>
      <c r="J37" s="20">
        <f>I37/(1-'01_Assumptions'!D24/100)</f>
        <v/>
      </c>
      <c r="K37" s="21">
        <f>B18</f>
        <v/>
      </c>
      <c r="L37" s="20">
        <f>K37-C37-D37-E37-F37-G37-H37</f>
        <v/>
      </c>
    </row>
    <row r="38">
      <c r="A38" s="17" t="inlineStr">
        <is>
          <t>AI-supported clinician care</t>
        </is>
      </c>
      <c r="B38" s="17" t="inlineStr">
        <is>
          <t>D. Employer/Payer Underwriting</t>
        </is>
      </c>
      <c r="C38" s="20">
        <f>'02_Unit_Economics'!E7</f>
        <v/>
      </c>
      <c r="D38" s="21">
        <f>'02_Unit_Economics'!C14</f>
        <v/>
      </c>
      <c r="E38" s="21">
        <f>'02_Unit_Economics'!D14</f>
        <v/>
      </c>
      <c r="F38" s="21">
        <f>'02_Unit_Economics'!E14</f>
        <v/>
      </c>
      <c r="G38" s="21">
        <f>B22*('01_Assumptions'!D20+'01_Assumptions'!D21)/100</f>
        <v/>
      </c>
      <c r="H38" s="21">
        <f>'02_Unit_Economics'!G14</f>
        <v/>
      </c>
      <c r="I38" s="20">
        <f>C38+D38+E38+F38+G38+H38</f>
        <v/>
      </c>
      <c r="J38" s="20">
        <f>I38/(1-'01_Assumptions'!D24/100)</f>
        <v/>
      </c>
      <c r="K38" s="21">
        <f>B22</f>
        <v/>
      </c>
      <c r="L38" s="20">
        <f>K38-C38-D38-E38-F38-G38-H38</f>
        <v/>
      </c>
    </row>
    <row r="39">
      <c r="A39" s="17" t="inlineStr">
        <is>
          <t>AI-supported clinician care</t>
        </is>
      </c>
      <c r="B39" s="17" t="inlineStr">
        <is>
          <t>E. Foundation Underwriting</t>
        </is>
      </c>
      <c r="C39" s="20">
        <f>'02_Unit_Economics'!E7</f>
        <v/>
      </c>
      <c r="D39" s="21">
        <f>'02_Unit_Economics'!C14</f>
        <v/>
      </c>
      <c r="E39" s="21">
        <f>'02_Unit_Economics'!D14</f>
        <v/>
      </c>
      <c r="F39" s="21">
        <f>'02_Unit_Economics'!E14</f>
        <v/>
      </c>
      <c r="G39" s="21">
        <f>B25*('01_Assumptions'!D20+'01_Assumptions'!D21)/100</f>
        <v/>
      </c>
      <c r="H39" s="21">
        <f>'02_Unit_Economics'!G14</f>
        <v/>
      </c>
      <c r="I39" s="20">
        <f>C39+D39+E39+F39+G39+H39</f>
        <v/>
      </c>
      <c r="J39" s="20">
        <f>I39/(1-'01_Assumptions'!D24/100)</f>
        <v/>
      </c>
      <c r="K39" s="21">
        <f>B25</f>
        <v/>
      </c>
      <c r="L39" s="20">
        <f>K39-C39-D39-E39-F39-G39-H39</f>
        <v/>
      </c>
    </row>
    <row r="40">
      <c r="A40" s="17" t="inlineStr">
        <is>
          <t>Mostly-AI-driven care episode</t>
        </is>
      </c>
      <c r="B40" s="17" t="inlineStr">
        <is>
          <t>A. Programmatic Ads</t>
        </is>
      </c>
      <c r="C40" s="20">
        <f>'02_Unit_Economics'!E8</f>
        <v/>
      </c>
      <c r="D40" s="21">
        <f>'02_Unit_Economics'!C15</f>
        <v/>
      </c>
      <c r="E40" s="21">
        <f>'02_Unit_Economics'!D15</f>
        <v/>
      </c>
      <c r="F40" s="21">
        <f>'02_Unit_Economics'!E15</f>
        <v/>
      </c>
      <c r="G40" s="21">
        <f>B8*('01_Assumptions'!D20+'01_Assumptions'!D21)/100</f>
        <v/>
      </c>
      <c r="H40" s="21">
        <f>'02_Unit_Economics'!G15</f>
        <v/>
      </c>
      <c r="I40" s="20">
        <f>C40+D40+E40+F40+G40+H40</f>
        <v/>
      </c>
      <c r="J40" s="20">
        <f>I40/(1-'01_Assumptions'!D24/100)</f>
        <v/>
      </c>
      <c r="K40" s="21">
        <f>B8</f>
        <v/>
      </c>
      <c r="L40" s="20">
        <f>K40-C40-D40-E40-F40-G40-H40</f>
        <v/>
      </c>
    </row>
    <row r="41">
      <c r="A41" s="17" t="inlineStr">
        <is>
          <t>Mostly-AI-driven care episode</t>
        </is>
      </c>
      <c r="B41" s="17" t="inlineStr">
        <is>
          <t>B. Fixed-Fee Sponsorship</t>
        </is>
      </c>
      <c r="C41" s="20">
        <f>'02_Unit_Economics'!E8</f>
        <v/>
      </c>
      <c r="D41" s="21">
        <f>'02_Unit_Economics'!C15</f>
        <v/>
      </c>
      <c r="E41" s="21">
        <f>'02_Unit_Economics'!D15</f>
        <v/>
      </c>
      <c r="F41" s="21">
        <f>'02_Unit_Economics'!E15</f>
        <v/>
      </c>
      <c r="G41" s="21">
        <f>B14*('01_Assumptions'!D20+'01_Assumptions'!D21)/100</f>
        <v/>
      </c>
      <c r="H41" s="21">
        <f>'02_Unit_Economics'!G15</f>
        <v/>
      </c>
      <c r="I41" s="20">
        <f>C41+D41+E41+F41+G41+H41</f>
        <v/>
      </c>
      <c r="J41" s="20">
        <f>I41/(1-'01_Assumptions'!D24/100)</f>
        <v/>
      </c>
      <c r="K41" s="21">
        <f>B14</f>
        <v/>
      </c>
      <c r="L41" s="20">
        <f>K41-C41-D41-E41-F41-G41-H41</f>
        <v/>
      </c>
    </row>
    <row r="42">
      <c r="A42" s="17" t="inlineStr">
        <is>
          <t>Mostly-AI-driven care episode</t>
        </is>
      </c>
      <c r="B42" s="17" t="inlineStr">
        <is>
          <t>C. Performance Partnership (legal review req'd)</t>
        </is>
      </c>
      <c r="C42" s="20">
        <f>'02_Unit_Economics'!E8</f>
        <v/>
      </c>
      <c r="D42" s="21">
        <f>'02_Unit_Economics'!C15</f>
        <v/>
      </c>
      <c r="E42" s="21">
        <f>'02_Unit_Economics'!D15</f>
        <v/>
      </c>
      <c r="F42" s="21">
        <f>'02_Unit_Economics'!E15</f>
        <v/>
      </c>
      <c r="G42" s="21">
        <f>B18*('01_Assumptions'!D20+'01_Assumptions'!D21)/100</f>
        <v/>
      </c>
      <c r="H42" s="21">
        <f>'02_Unit_Economics'!G15</f>
        <v/>
      </c>
      <c r="I42" s="20">
        <f>C42+D42+E42+F42+G42+H42</f>
        <v/>
      </c>
      <c r="J42" s="20">
        <f>I42/(1-'01_Assumptions'!D24/100)</f>
        <v/>
      </c>
      <c r="K42" s="21">
        <f>B18</f>
        <v/>
      </c>
      <c r="L42" s="20">
        <f>K42-C42-D42-E42-F42-G42-H42</f>
        <v/>
      </c>
    </row>
    <row r="43">
      <c r="A43" s="17" t="inlineStr">
        <is>
          <t>Mostly-AI-driven care episode</t>
        </is>
      </c>
      <c r="B43" s="17" t="inlineStr">
        <is>
          <t>D. Employer/Payer Underwriting</t>
        </is>
      </c>
      <c r="C43" s="20">
        <f>'02_Unit_Economics'!E8</f>
        <v/>
      </c>
      <c r="D43" s="21">
        <f>'02_Unit_Economics'!C15</f>
        <v/>
      </c>
      <c r="E43" s="21">
        <f>'02_Unit_Economics'!D15</f>
        <v/>
      </c>
      <c r="F43" s="21">
        <f>'02_Unit_Economics'!E15</f>
        <v/>
      </c>
      <c r="G43" s="21">
        <f>B22*('01_Assumptions'!D20+'01_Assumptions'!D21)/100</f>
        <v/>
      </c>
      <c r="H43" s="21">
        <f>'02_Unit_Economics'!G15</f>
        <v/>
      </c>
      <c r="I43" s="20">
        <f>C43+D43+E43+F43+G43+H43</f>
        <v/>
      </c>
      <c r="J43" s="20">
        <f>I43/(1-'01_Assumptions'!D24/100)</f>
        <v/>
      </c>
      <c r="K43" s="21">
        <f>B22</f>
        <v/>
      </c>
      <c r="L43" s="20">
        <f>K43-C43-D43-E43-F43-G43-H43</f>
        <v/>
      </c>
    </row>
    <row r="44">
      <c r="A44" s="17" t="inlineStr">
        <is>
          <t>Mostly-AI-driven care episode</t>
        </is>
      </c>
      <c r="B44" s="17" t="inlineStr">
        <is>
          <t>E. Foundation Underwriting</t>
        </is>
      </c>
      <c r="C44" s="20">
        <f>'02_Unit_Economics'!E8</f>
        <v/>
      </c>
      <c r="D44" s="21">
        <f>'02_Unit_Economics'!C15</f>
        <v/>
      </c>
      <c r="E44" s="21">
        <f>'02_Unit_Economics'!D15</f>
        <v/>
      </c>
      <c r="F44" s="21">
        <f>'02_Unit_Economics'!E15</f>
        <v/>
      </c>
      <c r="G44" s="21">
        <f>B25*('01_Assumptions'!D20+'01_Assumptions'!D21)/100</f>
        <v/>
      </c>
      <c r="H44" s="21">
        <f>'02_Unit_Economics'!G15</f>
        <v/>
      </c>
      <c r="I44" s="20">
        <f>C44+D44+E44+F44+G44+H44</f>
        <v/>
      </c>
      <c r="J44" s="20">
        <f>I44/(1-'01_Assumptions'!D24/100)</f>
        <v/>
      </c>
      <c r="K44" s="21">
        <f>B25</f>
        <v/>
      </c>
      <c r="L44" s="20">
        <f>K44-C44-D44-E44-F44-G44-H44</f>
        <v/>
      </c>
    </row>
  </sheetData>
  <mergeCells count="1">
    <mergeCell ref="A28:L28"/>
  </mergeCells>
  <conditionalFormatting sqref="L30:L44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Valuation Backsolve — Path to a ~$1B Valuation</t>
        </is>
      </c>
    </row>
    <row r="2">
      <c r="A2" s="2" t="inlineStr">
        <is>
          <t>required_revenue = target_valuation / revenue_multiple;  required_patients = required_revenue / ARPU</t>
        </is>
      </c>
    </row>
    <row r="4">
      <c r="A4" t="inlineStr">
        <is>
          <t>Target valuation (USD)</t>
        </is>
      </c>
      <c r="B4" s="28" t="n">
        <v>1000000000</v>
      </c>
    </row>
    <row r="6">
      <c r="A6" s="15" t="inlineStr">
        <is>
          <t>Required Revenue at Each Revenue Multiple</t>
        </is>
      </c>
      <c r="B6" s="16" t="n"/>
      <c r="C6" s="16" t="n"/>
      <c r="D6" s="16" t="n"/>
      <c r="E6" s="16" t="n"/>
      <c r="F6" s="16" t="n"/>
    </row>
    <row r="7">
      <c r="A7" s="3" t="inlineStr">
        <is>
          <t>Multiple (x revenue)</t>
        </is>
      </c>
      <c r="B7" s="3" t="inlineStr">
        <is>
          <t>Required Annual Revenue</t>
        </is>
      </c>
    </row>
    <row r="8">
      <c r="A8" s="4" t="inlineStr">
        <is>
          <t>5x</t>
        </is>
      </c>
      <c r="B8" s="29">
        <f>$B$4/5</f>
        <v/>
      </c>
    </row>
    <row r="9">
      <c r="A9" s="4" t="inlineStr">
        <is>
          <t>10x</t>
        </is>
      </c>
      <c r="B9" s="29">
        <f>$B$4/10</f>
        <v/>
      </c>
    </row>
    <row r="10">
      <c r="A10" s="4" t="inlineStr">
        <is>
          <t>15x</t>
        </is>
      </c>
      <c r="B10" s="29">
        <f>$B$4/15</f>
        <v/>
      </c>
    </row>
    <row r="11">
      <c r="A11" s="4" t="inlineStr">
        <is>
          <t>20x</t>
        </is>
      </c>
      <c r="B11" s="29">
        <f>$B$4/20</f>
        <v/>
      </c>
    </row>
    <row r="13">
      <c r="A13" s="15" t="inlineStr">
        <is>
          <t>Required Active Patients by Model (Base-Case ARPU) and Multiple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3" t="inlineStr">
        <is>
          <t>Model</t>
        </is>
      </c>
      <c r="B14" s="3" t="inlineStr">
        <is>
          <t>Base ARPU (USD/patient/yr)</t>
        </is>
      </c>
      <c r="C14" s="3" t="inlineStr">
        <is>
          <t>Req'd Patients @ 5x</t>
        </is>
      </c>
      <c r="D14" s="3" t="inlineStr">
        <is>
          <t>Req'd Patients @ 10x</t>
        </is>
      </c>
      <c r="E14" s="3" t="inlineStr">
        <is>
          <t>Req'd Patients @ 15x</t>
        </is>
      </c>
      <c r="F14" s="3" t="inlineStr">
        <is>
          <t>Req'd Patients @ 20x</t>
        </is>
      </c>
    </row>
    <row r="15">
      <c r="A15" s="17" t="inlineStr">
        <is>
          <t>A. Programmatic Ads</t>
        </is>
      </c>
      <c r="B15" s="30">
        <f>'03_Monetization_Models'!B8</f>
        <v/>
      </c>
      <c r="C15" s="31">
        <f>IF(B15&lt;=0,"n/a (non-positive ARPU)",B8/B15)</f>
        <v/>
      </c>
      <c r="D15" s="31">
        <f>IF(B15&lt;=0,"n/a (non-positive ARPU)",B9/B15)</f>
        <v/>
      </c>
      <c r="E15" s="31">
        <f>IF(B15&lt;=0,"n/a (non-positive ARPU)",B10/B15)</f>
        <v/>
      </c>
      <c r="F15" s="31">
        <f>IF(B15&lt;=0,"n/a (non-positive ARPU)",B11/B15)</f>
        <v/>
      </c>
    </row>
    <row r="16">
      <c r="A16" s="17" t="inlineStr">
        <is>
          <t>B. Fixed-Fee Sponsorship</t>
        </is>
      </c>
      <c r="B16" s="30">
        <f>'03_Monetization_Models'!B14</f>
        <v/>
      </c>
      <c r="C16" s="31">
        <f>IF(B16&lt;=0,"n/a (non-positive ARPU)",B8/B16)</f>
        <v/>
      </c>
      <c r="D16" s="31">
        <f>IF(B16&lt;=0,"n/a (non-positive ARPU)",B9/B16)</f>
        <v/>
      </c>
      <c r="E16" s="31">
        <f>IF(B16&lt;=0,"n/a (non-positive ARPU)",B10/B16)</f>
        <v/>
      </c>
      <c r="F16" s="31">
        <f>IF(B16&lt;=0,"n/a (non-positive ARPU)",B11/B16)</f>
        <v/>
      </c>
    </row>
    <row r="17">
      <c r="A17" s="17" t="inlineStr">
        <is>
          <t>C. Performance Partnership (legal review req'd)</t>
        </is>
      </c>
      <c r="B17" s="30">
        <f>'03_Monetization_Models'!B18</f>
        <v/>
      </c>
      <c r="C17" s="31">
        <f>IF(B17&lt;=0,"n/a (non-positive ARPU)",B8/B17)</f>
        <v/>
      </c>
      <c r="D17" s="31">
        <f>IF(B17&lt;=0,"n/a (non-positive ARPU)",B9/B17)</f>
        <v/>
      </c>
      <c r="E17" s="31">
        <f>IF(B17&lt;=0,"n/a (non-positive ARPU)",B10/B17)</f>
        <v/>
      </c>
      <c r="F17" s="31">
        <f>IF(B17&lt;=0,"n/a (non-positive ARPU)",B11/B17)</f>
        <v/>
      </c>
    </row>
    <row r="18">
      <c r="A18" s="17" t="inlineStr">
        <is>
          <t>D. Employer/Payer Underwriting</t>
        </is>
      </c>
      <c r="B18" s="30">
        <f>'03_Monetization_Models'!B22</f>
        <v/>
      </c>
      <c r="C18" s="31">
        <f>IF(B18&lt;=0,"n/a (non-positive ARPU)",B8/B18)</f>
        <v/>
      </c>
      <c r="D18" s="31">
        <f>IF(B18&lt;=0,"n/a (non-positive ARPU)",B9/B18)</f>
        <v/>
      </c>
      <c r="E18" s="31">
        <f>IF(B18&lt;=0,"n/a (non-positive ARPU)",B10/B18)</f>
        <v/>
      </c>
      <c r="F18" s="31">
        <f>IF(B18&lt;=0,"n/a (non-positive ARPU)",B11/B18)</f>
        <v/>
      </c>
    </row>
    <row r="19">
      <c r="A19" s="17" t="inlineStr">
        <is>
          <t>E. Foundation Underwriting</t>
        </is>
      </c>
      <c r="B19" s="30">
        <f>'03_Monetization_Models'!B25</f>
        <v/>
      </c>
      <c r="C19" s="31">
        <f>IF(B19&lt;=0,"n/a (non-positive ARPU)",B8/B19)</f>
        <v/>
      </c>
      <c r="D19" s="31">
        <f>IF(B19&lt;=0,"n/a (non-positive ARPU)",B9/B19)</f>
        <v/>
      </c>
      <c r="E19" s="31">
        <f>IF(B19&lt;=0,"n/a (non-positive ARPU)",B10/B19)</f>
        <v/>
      </c>
      <c r="F19" s="31">
        <f>IF(B19&lt;=0,"n/a (non-positive ARPU)",B11/B19)</f>
        <v/>
      </c>
    </row>
    <row r="21">
      <c r="A21" s="15" t="inlineStr">
        <is>
          <t>Model B — Required Sponsor Count and Implied Concentration (equal-weight contracts)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Uses A24 (reference annual contract value) as the per-sponsor contract size. concentration_pct_per_sponsor = 1 / required_sponsors (equal-weight assumption).</t>
        </is>
      </c>
    </row>
    <row r="23">
      <c r="A23" s="3" t="inlineStr">
        <is>
          <t>Multiple</t>
        </is>
      </c>
      <c r="B23" s="3" t="inlineStr">
        <is>
          <t>Required Revenue</t>
        </is>
      </c>
      <c r="C23" s="3" t="inlineStr">
        <is>
          <t>Reference Contract Value (A24)</t>
        </is>
      </c>
      <c r="D23" s="3" t="inlineStr">
        <is>
          <t>Required Sponsors</t>
        </is>
      </c>
      <c r="E23" s="3" t="inlineStr">
        <is>
          <t>Concentration % / Sponsor</t>
        </is>
      </c>
    </row>
    <row r="24">
      <c r="A24" s="17" t="inlineStr">
        <is>
          <t>5x</t>
        </is>
      </c>
      <c r="B24" s="29">
        <f>B8</f>
        <v/>
      </c>
      <c r="C24" s="29">
        <f>'01_Assumptions'!D34</f>
        <v/>
      </c>
      <c r="D24" s="31">
        <f>B24/C24</f>
        <v/>
      </c>
      <c r="E24" s="32">
        <f>1/D24</f>
        <v/>
      </c>
    </row>
    <row r="25">
      <c r="A25" s="17" t="inlineStr">
        <is>
          <t>10x</t>
        </is>
      </c>
      <c r="B25" s="29">
        <f>B9</f>
        <v/>
      </c>
      <c r="C25" s="29">
        <f>'01_Assumptions'!D34</f>
        <v/>
      </c>
      <c r="D25" s="31">
        <f>B25/C25</f>
        <v/>
      </c>
      <c r="E25" s="32">
        <f>1/D25</f>
        <v/>
      </c>
    </row>
    <row r="26">
      <c r="A26" s="17" t="inlineStr">
        <is>
          <t>15x</t>
        </is>
      </c>
      <c r="B26" s="29">
        <f>B10</f>
        <v/>
      </c>
      <c r="C26" s="29">
        <f>'01_Assumptions'!D34</f>
        <v/>
      </c>
      <c r="D26" s="31">
        <f>B26/C26</f>
        <v/>
      </c>
      <c r="E26" s="32">
        <f>1/D26</f>
        <v/>
      </c>
    </row>
    <row r="27">
      <c r="A27" s="17" t="inlineStr">
        <is>
          <t>20x</t>
        </is>
      </c>
      <c r="B27" s="29">
        <f>B11</f>
        <v/>
      </c>
      <c r="C27" s="29">
        <f>'01_Assumptions'!D34</f>
        <v/>
      </c>
      <c r="D27" s="31">
        <f>B27/C27</f>
        <v/>
      </c>
      <c r="E27" s="32">
        <f>1/D27</f>
        <v/>
      </c>
    </row>
  </sheetData>
  <mergeCells count="1"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20" customWidth="1" min="7" max="7"/>
    <col width="18" customWidth="1" min="8" max="8"/>
  </cols>
  <sheetData>
    <row r="1">
      <c r="A1" s="1" t="inlineStr">
        <is>
          <t>Sensitivity — Break-Even Sponsor ARPU and One-Way Tornado</t>
        </is>
      </c>
    </row>
    <row r="2">
      <c r="A2" s="2" t="inlineStr">
        <is>
          <t>Break-even ARPU table is fully live (all 3 pathways). The tornado table below is illustrative for the single base-case combo with a positive north-star margin (ai_driven pathway x Model D); it flexes one assumption to its Low/High value while holding all others at Base, mirroring sensitivity.py's method. The full 195-row tornado (all 3 pathways x 5 models x 13 assumptions) is in sensitivity_outputs.csv.</t>
        </is>
      </c>
    </row>
    <row r="4">
      <c r="A4" s="15" t="inlineStr">
        <is>
          <t>Break-Even Sponsor ARPU per Pathway (Base-Case Cost)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3" t="inlineStr">
        <is>
          <t>Pathway</t>
        </is>
      </c>
      <c r="B5" s="3" t="inlineStr">
        <is>
          <t>Fully Loaded Cost</t>
        </is>
      </c>
      <c r="C5" s="3" t="inlineStr">
        <is>
          <t>Break-Even ARPU (m=0%)</t>
        </is>
      </c>
      <c r="D5" s="3" t="inlineStr">
        <is>
          <t>Break-Even ARPU (m=20%)</t>
        </is>
      </c>
      <c r="E5" s="3" t="inlineStr">
        <is>
          <t>Break-Even ARPU (m=25%)</t>
        </is>
      </c>
      <c r="F5" s="3" t="inlineStr">
        <is>
          <t>Break-Even ARPU (m=30%)</t>
        </is>
      </c>
      <c r="G5" s="3" t="inlineStr">
        <is>
          <t>External Anchor ARPU (A05 Base)</t>
        </is>
      </c>
      <c r="H5" s="3" t="inlineStr">
        <is>
          <t>Gap to Anchor @ m=25%</t>
        </is>
      </c>
    </row>
    <row r="6">
      <c r="A6" s="17" t="inlineStr">
        <is>
          <t>Traditional clinician visit</t>
        </is>
      </c>
      <c r="B6" s="20">
        <f>'02_Unit_Economics'!H13</f>
        <v/>
      </c>
      <c r="C6" s="20">
        <f>B6/(1-0)</f>
        <v/>
      </c>
      <c r="D6" s="20">
        <f>B6/(1-0.20)</f>
        <v/>
      </c>
      <c r="E6" s="20">
        <f>B6/(1-0.25)</f>
        <v/>
      </c>
      <c r="F6" s="20">
        <f>B6/(1-0.30)</f>
        <v/>
      </c>
      <c r="G6" s="21">
        <f>'01_Assumptions'!D11</f>
        <v/>
      </c>
      <c r="H6" s="20">
        <f>G6-E6</f>
        <v/>
      </c>
    </row>
    <row r="7">
      <c r="A7" s="17" t="inlineStr">
        <is>
          <t>AI-supported clinician care</t>
        </is>
      </c>
      <c r="B7" s="20">
        <f>'02_Unit_Economics'!H14</f>
        <v/>
      </c>
      <c r="C7" s="20">
        <f>B7/(1-0)</f>
        <v/>
      </c>
      <c r="D7" s="20">
        <f>B7/(1-0.20)</f>
        <v/>
      </c>
      <c r="E7" s="20">
        <f>B7/(1-0.25)</f>
        <v/>
      </c>
      <c r="F7" s="20">
        <f>B7/(1-0.30)</f>
        <v/>
      </c>
      <c r="G7" s="21">
        <f>'01_Assumptions'!D11</f>
        <v/>
      </c>
      <c r="H7" s="20">
        <f>G7-E7</f>
        <v/>
      </c>
    </row>
    <row r="8">
      <c r="A8" s="17" t="inlineStr">
        <is>
          <t>Mostly-AI-driven care episode</t>
        </is>
      </c>
      <c r="B8" s="20">
        <f>'02_Unit_Economics'!H15</f>
        <v/>
      </c>
      <c r="C8" s="20">
        <f>B8/(1-0)</f>
        <v/>
      </c>
      <c r="D8" s="20">
        <f>B8/(1-0.20)</f>
        <v/>
      </c>
      <c r="E8" s="20">
        <f>B8/(1-0.25)</f>
        <v/>
      </c>
      <c r="F8" s="20">
        <f>B8/(1-0.30)</f>
        <v/>
      </c>
      <c r="G8" s="21">
        <f>'01_Assumptions'!D11</f>
        <v/>
      </c>
      <c r="H8" s="20">
        <f>G8-E8</f>
        <v/>
      </c>
    </row>
    <row r="10">
      <c r="A10" s="15" t="inlineStr">
        <is>
          <t>Illustrative One-Way Tornado — ai_driven Pathway x Model D (Employer/Payer Underwriting)</t>
        </is>
      </c>
      <c r="B10" s="16" t="n"/>
      <c r="C10" s="16" t="n"/>
      <c r="D10" s="16" t="n"/>
      <c r="E10" s="16" t="n"/>
      <c r="F10" s="16" t="n"/>
    </row>
    <row r="11">
      <c r="A11" t="inlineStr">
        <is>
          <t>Base-case north-star margin for this combo:</t>
        </is>
      </c>
      <c r="B11" s="33">
        <f>'03_Monetization_Models'!L43</f>
        <v/>
      </c>
    </row>
    <row r="12">
      <c r="A12" s="3" t="inlineStr">
        <is>
          <t>Assumption Flexed</t>
        </is>
      </c>
      <c r="B12" s="3" t="inlineStr">
        <is>
          <t>North-Star @ Low</t>
        </is>
      </c>
      <c r="C12" s="3" t="inlineStr">
        <is>
          <t>North-Star @ High</t>
        </is>
      </c>
      <c r="D12" s="3" t="inlineStr">
        <is>
          <t>Swing (abs $)</t>
        </is>
      </c>
    </row>
    <row r="13">
      <c r="A13" s="17" t="inlineStr">
        <is>
          <t>A15: Sponsor ARPU - employer PEPM rate (Model D anchor)</t>
        </is>
      </c>
      <c r="B13" s="20">
        <f>(('01_Assumptions'!C25/12)*12*('01_Assumptions'!D31/100))-('01_Assumptions'!D7*'01_Assumptions'!D10)-(0.5*('01_Assumptions'!D18*'01_Assumptions'!D33)/'01_Assumptions'!D23)-(0.5*('01_Assumptions'!D18*'01_Assumptions'!D33)/'01_Assumptions'!D23)-('01_Assumptions'!D19/'01_Assumptions'!D23)-((('01_Assumptions'!C25/12)*12*('01_Assumptions'!D31/100))*('01_Assumptions'!D20+'01_Assumptions'!D21)/100)-('01_Assumptions'!D35*'01_Assumptions'!D36/100)</f>
        <v/>
      </c>
      <c r="C13" s="20">
        <f>(('01_Assumptions'!E25/12)*12*('01_Assumptions'!D31/100))-('01_Assumptions'!D7*'01_Assumptions'!D10)-(0.5*('01_Assumptions'!D18*'01_Assumptions'!D33)/'01_Assumptions'!D23)-(0.5*('01_Assumptions'!D18*'01_Assumptions'!D33)/'01_Assumptions'!D23)-('01_Assumptions'!D19/'01_Assumptions'!D23)-((('01_Assumptions'!E25/12)*12*('01_Assumptions'!D31/100))*('01_Assumptions'!D20+'01_Assumptions'!D21)/100)-('01_Assumptions'!D35*'01_Assumptions'!D36/100)</f>
        <v/>
      </c>
      <c r="D13" s="20">
        <f>ABS(C13-B13)</f>
        <v/>
      </c>
    </row>
    <row r="14">
      <c r="A14" s="17" t="inlineStr">
        <is>
          <t>A02b: Care cost - AI-driven episode</t>
        </is>
      </c>
      <c r="B14" s="20">
        <f>(('01_Assumptions'!D25/12)*12*('01_Assumptions'!D31/100))-('01_Assumptions'!C7*'01_Assumptions'!D10)-(0.5*('01_Assumptions'!D18*'01_Assumptions'!D33)/'01_Assumptions'!D23)-(0.5*('01_Assumptions'!D18*'01_Assumptions'!D33)/'01_Assumptions'!D23)-('01_Assumptions'!D19/'01_Assumptions'!D23)-((('01_Assumptions'!D25/12)*12*('01_Assumptions'!D31/100))*('01_Assumptions'!D20+'01_Assumptions'!D21)/100)-('01_Assumptions'!D35*'01_Assumptions'!D36/100)</f>
        <v/>
      </c>
      <c r="C14" s="20">
        <f>(('01_Assumptions'!D25/12)*12*('01_Assumptions'!D31/100))-('01_Assumptions'!E7*'01_Assumptions'!D10)-(0.5*('01_Assumptions'!D18*'01_Assumptions'!D33)/'01_Assumptions'!D23)-(0.5*('01_Assumptions'!D18*'01_Assumptions'!D33)/'01_Assumptions'!D23)-('01_Assumptions'!D19/'01_Assumptions'!D23)-((('01_Assumptions'!D25/12)*12*('01_Assumptions'!D31/100))*('01_Assumptions'!D20+'01_Assumptions'!D21)/100)-('01_Assumptions'!D35*'01_Assumptions'!D36/100)</f>
        <v/>
      </c>
      <c r="D14" s="20">
        <f>ABS(C14-B14)</f>
        <v/>
      </c>
    </row>
    <row r="15">
      <c r="A15" s="17" t="inlineStr">
        <is>
          <t>A21: Engagement - employer utilization adjustment</t>
        </is>
      </c>
      <c r="B15" s="20">
        <f>(('01_Assumptions'!D25/12)*12*('01_Assumptions'!C31/100))-('01_Assumptions'!D7*'01_Assumptions'!D10)-(0.5*('01_Assumptions'!D18*'01_Assumptions'!D33)/'01_Assumptions'!D23)-(0.5*('01_Assumptions'!D18*'01_Assumptions'!D33)/'01_Assumptions'!D23)-('01_Assumptions'!D19/'01_Assumptions'!D23)-((('01_Assumptions'!D25/12)*12*('01_Assumptions'!C31/100))*('01_Assumptions'!D20+'01_Assumptions'!D21)/100)-('01_Assumptions'!D35*'01_Assumptions'!D36/100)</f>
        <v/>
      </c>
      <c r="C15" s="20">
        <f>(('01_Assumptions'!D25/12)*12*('01_Assumptions'!E31/100))-('01_Assumptions'!D7*'01_Assumptions'!D10)-(0.5*('01_Assumptions'!D18*'01_Assumptions'!D33)/'01_Assumptions'!D23)-(0.5*('01_Assumptions'!D18*'01_Assumptions'!D33)/'01_Assumptions'!D23)-('01_Assumptions'!D19/'01_Assumptions'!D23)-((('01_Assumptions'!D25/12)*12*('01_Assumptions'!E31/100))*('01_Assumptions'!D20+'01_Assumptions'!D21)/100)-('01_Assumptions'!D35*'01_Assumptions'!D36/100)</f>
        <v/>
      </c>
      <c r="D15" s="20">
        <f>ABS(C15-B15)</f>
        <v/>
      </c>
    </row>
    <row r="16">
      <c r="A16" s="17" t="inlineStr">
        <is>
          <t>A11: Trust churn - retention loss</t>
        </is>
      </c>
      <c r="B16" s="20">
        <f>(('01_Assumptions'!D25/12)*12*('01_Assumptions'!D31/100))-('01_Assumptions'!D7*'01_Assumptions'!D10)-(0.5*('01_Assumptions'!D18*'01_Assumptions'!D33)/'01_Assumptions'!D23)-(0.5*('01_Assumptions'!D18*'01_Assumptions'!D33)/'01_Assumptions'!D23)-('01_Assumptions'!D19/'01_Assumptions'!D23)-((('01_Assumptions'!D25/12)*12*('01_Assumptions'!D31/100))*('01_Assumptions'!D20+'01_Assumptions'!C21)/100)-('01_Assumptions'!D35*'01_Assumptions'!D36/100)</f>
        <v/>
      </c>
      <c r="C16" s="20">
        <f>(('01_Assumptions'!D25/12)*12*('01_Assumptions'!D31/100))-('01_Assumptions'!D7*'01_Assumptions'!D10)-(0.5*('01_Assumptions'!D18*'01_Assumptions'!D33)/'01_Assumptions'!D23)-(0.5*('01_Assumptions'!D18*'01_Assumptions'!D33)/'01_Assumptions'!D23)-('01_Assumptions'!D19/'01_Assumptions'!D23)-((('01_Assumptions'!D25/12)*12*('01_Assumptions'!D31/100))*('01_Assumptions'!D20+'01_Assumptions'!E21)/100)-('01_Assumptions'!D35*'01_Assumptions'!D36/100)</f>
        <v/>
      </c>
      <c r="D16" s="20">
        <f>ABS(C16-B16)</f>
        <v/>
      </c>
    </row>
    <row r="17">
      <c r="A17" s="17" t="inlineStr">
        <is>
          <t>A13: Eligible patient volume</t>
        </is>
      </c>
      <c r="B17" s="20">
        <f>(('01_Assumptions'!D25/12)*12*('01_Assumptions'!D31/100))-('01_Assumptions'!D7*'01_Assumptions'!D10)-(0.5*('01_Assumptions'!D18*'01_Assumptions'!D33)/'01_Assumptions'!C23)-(0.5*('01_Assumptions'!D18*'01_Assumptions'!D33)/'01_Assumptions'!C23)-('01_Assumptions'!D19/'01_Assumptions'!C23)-((('01_Assumptions'!D25/12)*12*('01_Assumptions'!D31/100))*('01_Assumptions'!D20+'01_Assumptions'!D21)/100)-('01_Assumptions'!D35*'01_Assumptions'!D36/100)</f>
        <v/>
      </c>
      <c r="C17" s="20">
        <f>(('01_Assumptions'!D25/12)*12*('01_Assumptions'!D31/100))-('01_Assumptions'!D7*'01_Assumptions'!D10)-(0.5*('01_Assumptions'!D18*'01_Assumptions'!D33)/'01_Assumptions'!E23)-(0.5*('01_Assumptions'!D18*'01_Assumptions'!D33)/'01_Assumptions'!E23)-('01_Assumptions'!D19/'01_Assumptions'!E23)-((('01_Assumptions'!D25/12)*12*('01_Assumptions'!D31/100))*('01_Assumptions'!D20+'01_Assumptions'!D21)/100)-('01_Assumptions'!D35*'01_Assumptions'!D36/100)</f>
        <v/>
      </c>
      <c r="D17" s="20">
        <f>ABS(C17-B17)</f>
        <v/>
      </c>
    </row>
    <row r="18">
      <c r="A18" s="17" t="inlineStr">
        <is>
          <t>A10: Trust churn - booking conversion loss</t>
        </is>
      </c>
      <c r="B18" s="20">
        <f>(('01_Assumptions'!D25/12)*12*('01_Assumptions'!D31/100))-('01_Assumptions'!D7*'01_Assumptions'!D10)-(0.5*('01_Assumptions'!D18*'01_Assumptions'!D33)/'01_Assumptions'!D23)-(0.5*('01_Assumptions'!D18*'01_Assumptions'!D33)/'01_Assumptions'!D23)-('01_Assumptions'!D19/'01_Assumptions'!D23)-((('01_Assumptions'!D25/12)*12*('01_Assumptions'!D31/100))*('01_Assumptions'!C20+'01_Assumptions'!D21)/100)-('01_Assumptions'!D35*'01_Assumptions'!D36/100)</f>
        <v/>
      </c>
      <c r="C18" s="20">
        <f>(('01_Assumptions'!D25/12)*12*('01_Assumptions'!D31/100))-('01_Assumptions'!D7*'01_Assumptions'!D10)-(0.5*('01_Assumptions'!D18*'01_Assumptions'!D33)/'01_Assumptions'!D23)-(0.5*('01_Assumptions'!D18*'01_Assumptions'!D33)/'01_Assumptions'!D23)-('01_Assumptions'!D19/'01_Assumptions'!D23)-((('01_Assumptions'!D25/12)*12*('01_Assumptions'!D31/100))*('01_Assumptions'!E20+'01_Assumptions'!D21)/100)-('01_Assumptions'!D35*'01_Assumptions'!D36/100)</f>
        <v/>
      </c>
      <c r="D18" s="20">
        <f>ABS(C18-B18)</f>
        <v/>
      </c>
    </row>
    <row r="19">
      <c r="A19" s="17" t="inlineStr">
        <is>
          <t>A08: Sales/servicing cost per contract</t>
        </is>
      </c>
      <c r="B19" s="20">
        <f>(('01_Assumptions'!D25/12)*12*('01_Assumptions'!D31/100))-('01_Assumptions'!D7*'01_Assumptions'!D10)-(0.5*('01_Assumptions'!C18*'01_Assumptions'!D33)/'01_Assumptions'!D23)-(0.5*('01_Assumptions'!C18*'01_Assumptions'!D33)/'01_Assumptions'!D23)-('01_Assumptions'!D19/'01_Assumptions'!D23)-((('01_Assumptions'!D25/12)*12*('01_Assumptions'!D31/100))*('01_Assumptions'!D20+'01_Assumptions'!D21)/100)-('01_Assumptions'!D35*'01_Assumptions'!D36/100)</f>
        <v/>
      </c>
      <c r="C19" s="20">
        <f>(('01_Assumptions'!D25/12)*12*('01_Assumptions'!D31/100))-('01_Assumptions'!D7*'01_Assumptions'!D10)-(0.5*('01_Assumptions'!E18*'01_Assumptions'!D33)/'01_Assumptions'!D23)-(0.5*('01_Assumptions'!E18*'01_Assumptions'!D33)/'01_Assumptions'!D23)-('01_Assumptions'!D19/'01_Assumptions'!D23)-((('01_Assumptions'!D25/12)*12*('01_Assumptions'!D31/100))*('01_Assumptions'!D20+'01_Assumptions'!D21)/100)-('01_Assumptions'!D35*'01_Assumptions'!D36/100)</f>
        <v/>
      </c>
      <c r="D19" s="20">
        <f>ABS(C19-B19)</f>
        <v/>
      </c>
    </row>
    <row r="20">
      <c r="A20" s="17" t="inlineStr">
        <is>
          <t>A09: Compliance/legal cost</t>
        </is>
      </c>
      <c r="B20" s="20">
        <f>(('01_Assumptions'!D25/12)*12*('01_Assumptions'!D31/100))-('01_Assumptions'!D7*'01_Assumptions'!D10)-(0.5*('01_Assumptions'!D18*'01_Assumptions'!D33)/'01_Assumptions'!D23)-(0.5*('01_Assumptions'!D18*'01_Assumptions'!D33)/'01_Assumptions'!D23)-('01_Assumptions'!C19/'01_Assumptions'!D23)-((('01_Assumptions'!D25/12)*12*('01_Assumptions'!D31/100))*('01_Assumptions'!D20+'01_Assumptions'!D21)/100)-('01_Assumptions'!D35*'01_Assumptions'!D36/100)</f>
        <v/>
      </c>
      <c r="C20" s="20">
        <f>(('01_Assumptions'!D25/12)*12*('01_Assumptions'!D31/100))-('01_Assumptions'!D7*'01_Assumptions'!D10)-(0.5*('01_Assumptions'!D18*'01_Assumptions'!D33)/'01_Assumptions'!D23)-(0.5*('01_Assumptions'!D18*'01_Assumptions'!D33)/'01_Assumptions'!D23)-('01_Assumptions'!E19/'01_Assumptions'!D23)-((('01_Assumptions'!D25/12)*12*('01_Assumptions'!D31/100))*('01_Assumptions'!D20+'01_Assumptions'!D21)/100)-('01_Assumptions'!D35*'01_Assumptions'!D36/100)</f>
        <v/>
      </c>
      <c r="D20" s="20">
        <f>ABS(C20-B20)</f>
        <v/>
      </c>
    </row>
    <row r="22">
      <c r="A22" s="2" t="inlineStr">
        <is>
          <t>Rank by Swing (abs $) column D above to identify dominant assumptions for this combo (largest swing = most decision-relevant to validate first).</t>
        </is>
      </c>
    </row>
  </sheetData>
  <mergeCells count="2">
    <mergeCell ref="A22:F22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70" customWidth="1" min="4" max="4"/>
  </cols>
  <sheetData>
    <row r="1">
      <c r="A1" s="1" t="inlineStr">
        <is>
          <t>Sources &amp; Provenance</t>
        </is>
      </c>
    </row>
    <row r="2">
      <c r="A2" s="2" t="inlineStr">
        <is>
          <t>Every quantitative input traces to one of: (1) an external benchmark cited in research/comparable_notes.md, (2) an explicit analytic placeholder (labeled), or (3) a lead-judgment policy lever. No cell in this workbook represents confirmed Legion internal data.</t>
        </is>
      </c>
    </row>
    <row r="4">
      <c r="A4" s="3" t="inlineStr">
        <is>
          <t>Assumption ID</t>
        </is>
      </c>
      <c r="B4" s="3" t="inlineStr">
        <is>
          <t>Assumption</t>
        </is>
      </c>
      <c r="C4" s="3" t="inlineStr">
        <is>
          <t>Status</t>
        </is>
      </c>
      <c r="D4" s="3" t="inlineStr">
        <is>
          <t>Source (as recorded in 01_Assumptions)</t>
        </is>
      </c>
    </row>
    <row r="5">
      <c r="A5" s="17" t="inlineStr">
        <is>
          <t>A01</t>
        </is>
      </c>
      <c r="B5" s="34" t="inlineStr">
        <is>
          <t>Traditional clinician visit cost (COGS)</t>
        </is>
      </c>
      <c r="C5" s="17" t="inlineStr">
        <is>
          <t>ceo_directional</t>
        </is>
      </c>
      <c r="D5" s="34" t="inlineStr">
        <is>
          <t>CEO-provided directional data (Phase 5, 2026-07-08, data/ceo_data_integration.md #5): ~$74 blended provider COGS per synchronous visit, ~52-53% visit gross margin on ~$153/visit revenue -- internal cross-check passes: (153-74)/153=51.6%, matches CEO's stated 52-53%. REPLACES the prior external telehealth-benchmark placeholder (was $90/150/250, Talkiatry/CareClinic/TherapyRoute anchor). Base=$74 is the CEO point estimate; low=$70/high=$85 are a modest variance band around that single blended figure (not independently sourced -- CEO gave one number, not a range).</t>
        </is>
      </c>
    </row>
    <row r="6">
      <c r="A6" s="17" t="inlineStr">
        <is>
          <t>A02</t>
        </is>
      </c>
      <c r="B6" s="34" t="inlineStr">
        <is>
          <t>AI-supported clinician visit cost (COGS)</t>
        </is>
      </c>
      <c r="C6" s="17" t="inlineStr">
        <is>
          <t>ceo_directional</t>
        </is>
      </c>
      <c r="D6" s="34" t="inlineStr">
        <is>
          <t>CEO-provided directional data (Phase 5, 2026-07-08, data/ceo_data_integration.md #6): AI-leverage assumption ~2x visits/hour -&gt; ~$37 COGS/visit, ~76% gross margin on $153/visit revenue -- internal cross-check passes: (153-37)/153=75.8%, matches CEO's stated '75%+' target. REPLACES the prior unsourced clinician-time-compression placeholder (was $50/90/140). Base=$37 is the CEO point estimate; low=$32/high=$45 are a modest variance band around that single figure (not independently sourced).</t>
        </is>
      </c>
    </row>
    <row r="7">
      <c r="A7" s="17" t="inlineStr">
        <is>
          <t>A02b</t>
        </is>
      </c>
      <c r="B7" s="34" t="inlineStr">
        <is>
          <t>Mostly-AI-driven care episode cost</t>
        </is>
      </c>
      <c r="C7" s="17" t="inlineStr">
        <is>
          <t>ceo_directional_derived</t>
        </is>
      </c>
      <c r="D7" s="34" t="inlineStr">
        <is>
          <t>DERIVED, Phase 5 (2026-07-08, data/ceo_data_integration.md #7): fully-loaded episode cost = $1 token/compute cost (CEO data point, compute only) + escalation-allocated human-review cost. Derivation shown explicitly since no Legion escalation-rate figure exists: model an escalated episode as bumping to a full AI-supported-clinician-visit-equivalent review at the A02 base rate (the '$37-leverage cost'), scaled by an illustrative escalation rate (analyst parameter, NOT CEO-sourced) -- low: ~2.7% x $37=$1.00 (+$1 token=$2.00); base: ~18.9% x $37=$7.00 (+$1=$8.00); high: ~64.9% x $37=$24.00 (+$1=$25.00). This lands inside the CEO's own framing ('even generously loaded, episode cost lands ~$2-25') and REPLACES the prior $15/35/75 external-benchmark placeholder. The $1 token input is CEO-directional; the escalation-rate parameter is analyst-derived/illustrative pending a real Legion escalation-rate figure.</t>
        </is>
      </c>
    </row>
    <row r="8">
      <c r="A8" s="17" t="inlineStr">
        <is>
          <t>A03</t>
        </is>
      </c>
      <c r="B8" s="34" t="inlineStr">
        <is>
          <t>Traditional pathway visits per patient per year</t>
        </is>
      </c>
      <c r="C8" s="17" t="inlineStr">
        <is>
          <t>ceo_directional</t>
        </is>
      </c>
      <c r="D8" s="34" t="inlineStr">
        <is>
          <t>CEO-provided directional data (Phase 5, 2026-07-08, data/ceo_data_integration.md #2/#3), REPLACES the external-benchmark placeholder (was 4/8/16). Base=5.3 = CEO's stated historical AVERAGE completed visits per patient (implies a ~5-month typical episode per CEO framing). High=13.2 = CEO's stated continuously-active/mature-cohort run-rate (1.08-1.13 completed visits/active-patient/month x 12 = ~13.0-13.6/yr; midpoint used). Low=4 is retained from the prior placeholder's low end as a labeled conservative floor (the CEO did not provide a below-average figure). TENSION, DO NOT SILENTLY BLEND (see model_readme.md v3): base (5.3) is a historical AVERAGE-patient annual rate across a full patient lifecycle; high (13.2) is the rate for a DIFFERENT population -- a patient continuously active all year (mature/retained cohort) -- not simply a more-intensive version of the same average patient. A29/A30 (mature-cohort booked/GM LTV-to-CAC) imply mature-cohort lifetime visits of ~13.2 (2,025/153), ~2.5x the 5.3 historical average; base and high are kept separate per lead direction rather than blended into one number.</t>
        </is>
      </c>
    </row>
    <row r="9">
      <c r="A9" s="17" t="inlineStr">
        <is>
          <t>A03b</t>
        </is>
      </c>
      <c r="B9" s="34" t="inlineStr">
        <is>
          <t>AI-supported pathway visits per patient per year</t>
        </is>
      </c>
      <c r="C9" s="17" t="inlineStr">
        <is>
          <t>placeholder_unresolved</t>
        </is>
      </c>
      <c r="D9" s="34" t="inlineStr">
        <is>
          <t>PLACEHOLDER pending Legion data. Assumes AI-supported model enables higher-frequency, shorter touchpoints than traditional cadence; no Legion or external source specific to this pathway definition.</t>
        </is>
      </c>
    </row>
    <row r="10">
      <c r="A10" s="17" t="inlineStr">
        <is>
          <t>A04</t>
        </is>
      </c>
      <c r="B10" s="34" t="inlineStr">
        <is>
          <t>Mostly-AI-driven care episodes per patient per year</t>
        </is>
      </c>
      <c r="C10" s="17" t="inlineStr">
        <is>
          <t>placeholder_unresolved</t>
        </is>
      </c>
      <c r="D10" s="34" t="inlineStr">
        <is>
          <t>PLACEHOLDER pending Legion data. A 'care episode' here is a bundled unit of AI-driven care (e.g., an AI-led assessment/check-in cycle), analogous in scope to a clinician visit but lower-cost/lower-touch, NOT a single chat message. Range set below A03 (traditional visit cadence) per decision_framework.md's explicit qualitative ordering that the mostly-AI-driven pathway carries the LOWEST relative cost of the three pathways; no direct external benchmark exists for episode frequency specifically, so the range is an analytic placeholder anchored to that qualitative constraint.</t>
        </is>
      </c>
    </row>
    <row r="11">
      <c r="A11" s="17" t="inlineStr">
        <is>
          <t>A05</t>
        </is>
      </c>
      <c r="B11" s="34" t="inlineStr">
        <is>
          <t>Sponsor ARPU (fixed-fee sponsorship per exposed patient)</t>
        </is>
      </c>
      <c r="C11" s="17" t="inlineStr">
        <is>
          <t>estimated_external</t>
        </is>
      </c>
      <c r="D11" s="34" t="inlineStr">
        <is>
          <t>comparable_notes.md: GoodRx pharma-solutions ARPU ~$15/user/yr (derived); high case assumes multi-sponsor stacking (estimate)</t>
        </is>
      </c>
    </row>
    <row r="12">
      <c r="A12" s="17" t="inlineStr">
        <is>
          <t>A06</t>
        </is>
      </c>
      <c r="B12" s="34" t="inlineStr">
        <is>
          <t>Programmatic health eCPM (patient-vertical contextual)</t>
        </is>
      </c>
      <c r="C12" s="17" t="inlineStr">
        <is>
          <t>estimated_external</t>
        </is>
      </c>
      <c r="D12" s="34" t="inlineStr">
        <is>
          <t>comparable_notes.md: Facebook healthcare / patient-health-vertical CPM benchmarks; do NOT use physician CPMs ($70-1000+)</t>
        </is>
      </c>
    </row>
    <row r="13">
      <c r="A13" s="17" t="inlineStr">
        <is>
          <t>A06b</t>
        </is>
      </c>
      <c r="B13" s="34" t="inlineStr">
        <is>
          <t>Ad sessions per patient per year (Model A exposure volume)</t>
        </is>
      </c>
      <c r="C13" s="17" t="inlineStr">
        <is>
          <t>placeholder_unresolved</t>
        </is>
      </c>
      <c r="D13" s="34" t="inlineStr">
        <is>
          <t>PLACEHOLDER. Low/base derived from A03/A03b/A04 order-of-magnitude (roughly monthly to several-times-weekly touchpoints); no Legion product-usage data exists yet. HIGH END WIDENED post strategy_red_team.md Attack 1.3 (2026-07-07 v2 revision): 150/yr was anchored to visit-based cadences and did not represent how a daily-use ambient-engagement AI companion/chat product might actually be opened; 450/yr (~1.2x/day) represents that daily-use ceiling instead. Still no Legion product-usage data exists for either end.</t>
        </is>
      </c>
    </row>
    <row r="14">
      <c r="A14" s="17" t="inlineStr">
        <is>
          <t>A06c</t>
        </is>
      </c>
      <c r="B14" s="34" t="inlineStr">
        <is>
          <t>Ads served per session</t>
        </is>
      </c>
      <c r="C14" s="17" t="inlineStr">
        <is>
          <t>placeholder_external</t>
        </is>
      </c>
      <c r="D14" s="34" t="inlineStr">
        <is>
          <t>PLACEHOLDER external analogy to typical content-page ad density (display/native); not Legion-specific and no clinical-workflow ad placement has been designed or approved.</t>
        </is>
      </c>
    </row>
    <row r="15">
      <c r="A15" s="17" t="inlineStr">
        <is>
          <t>A06d</t>
        </is>
      </c>
      <c r="B15" s="34" t="inlineStr">
        <is>
          <t>Ad fill rate</t>
        </is>
      </c>
      <c r="C15" s="17" t="inlineStr">
        <is>
          <t>placeholder_external</t>
        </is>
      </c>
      <c r="D15" s="34" t="inlineStr">
        <is>
          <t>PLACEHOLDER general programmatic display fill-rate norms (50-90% typical range cited across ad-tech industry sources); not health-vertical specific. Stored as 0-100 (not 0-1) for consistency with other pct01-converted assumptions (A07/A14/A19/A21/A22) in scenarios.py/sensitivity.py.</t>
        </is>
      </c>
    </row>
    <row r="16">
      <c r="A16" s="17" t="inlineStr">
        <is>
          <t>A06e</t>
        </is>
      </c>
      <c r="B16" s="34" t="inlineStr">
        <is>
          <t>Platform/ad-tech fee (take rate)</t>
        </is>
      </c>
      <c r="C16" s="17" t="inlineStr">
        <is>
          <t>placeholder_external</t>
        </is>
      </c>
      <c r="D16" s="34" t="inlineStr">
        <is>
          <t>PLACEHOLDER standard programmatic ad-exchange take rates (20-40% commonly cited industry-wide for SSP/DSP/exchange fees combined). Stored as 0-100 (not 0-1) for consistency with other pct01-converted assumptions.</t>
        </is>
      </c>
    </row>
    <row r="17">
      <c r="A17" s="17" t="inlineStr">
        <is>
          <t>A07</t>
        </is>
      </c>
      <c r="B17" s="34" t="inlineStr">
        <is>
          <t>Sponsor renewal rate</t>
        </is>
      </c>
      <c r="C17" s="17" t="inlineStr">
        <is>
          <t>placeholder_unresolved</t>
        </is>
      </c>
      <c r="D17" s="34" t="inlineStr">
        <is>
          <t>PLACEHOLDER. No Legion or direct sponsor-side data. External proxy: typical enterprise/B2B logo retention ranges widely (50-90%) depending on contract structure; not sourced from a comparable sponsorship program.</t>
        </is>
      </c>
    </row>
    <row r="18">
      <c r="A18" s="17" t="inlineStr">
        <is>
          <t>A08</t>
        </is>
      </c>
      <c r="B18" s="34" t="inlineStr">
        <is>
          <t>Sales + servicing cost per sponsor contract</t>
        </is>
      </c>
      <c r="C18" s="17" t="inlineStr">
        <is>
          <t>estimated_external</t>
        </is>
      </c>
      <c r="D18" s="34" t="inlineStr">
        <is>
          <t>comparable_notes.md: pharma agency retainers $5-40K/mo; 9-18 mo enterprise sales cycles (rough estimate)</t>
        </is>
      </c>
    </row>
    <row r="19">
      <c r="A19" s="17" t="inlineStr">
        <is>
          <t>A09</t>
        </is>
      </c>
      <c r="B19" s="34" t="inlineStr">
        <is>
          <t>Incremental compliance/legal cost</t>
        </is>
      </c>
      <c r="C19" s="17" t="inlineStr">
        <is>
          <t>placeholder_external</t>
        </is>
      </c>
      <c r="D19" s="34" t="inlineStr">
        <is>
          <t>PLACEHOLDER. External anchor: mid-size digital-health-org HIPAA/compliance program cost $80K-500K initial + $90K-500K/yr ongoing (Medcurity/HIPAA Journal 2026 benchmarking); Legion-specific sponsor-ad-compliance overlay (FTC Health Breach Notification Rule exposure per GoodRx/Cerebral precedent) adds incremental legal review not captured in generic HIPAA figures, so high end raised above generic mid-size benchmark.</t>
        </is>
      </c>
    </row>
    <row r="20">
      <c r="A20" s="17" t="inlineStr">
        <is>
          <t>A10</t>
        </is>
      </c>
      <c r="B20" s="34" t="inlineStr">
        <is>
          <t>Trust-related conversion (booking) loss from sponsorship</t>
        </is>
      </c>
      <c r="C20" s="17" t="inlineStr">
        <is>
          <t>placeholder_unresolved</t>
        </is>
      </c>
      <c r="D20" s="34" t="inlineStr">
        <is>
          <t>PLACEHOLDER. No patient concept test run yet. Order-of-magnitude judgment anchored to comparable_notes.md pattern (GoodRx/Cerebral enforcement, Woebot/Wysa low free-to-paid conversion) suggesting sponsorship/ad presence measurably depresses trust-sensitive conversion in health contexts; magnitude unresolved.</t>
        </is>
      </c>
    </row>
    <row r="21">
      <c r="A21" s="17" t="inlineStr">
        <is>
          <t>A11</t>
        </is>
      </c>
      <c r="B21" s="34" t="inlineStr">
        <is>
          <t>Trust-related retention (continuation) loss from sponsorship</t>
        </is>
      </c>
      <c r="C21" s="17" t="inlineStr">
        <is>
          <t>placeholder_unresolved</t>
        </is>
      </c>
      <c r="D21" s="34" t="inlineStr">
        <is>
          <t>PLACEHOLDER. No patient concept test run yet. Judgment placeholder; psychiatric/behavioral-health patients plausibly more trust-sensitive than general consumer health (per comparable_notes.md discussion of Woebot/Cerebral trust dynamics), so high end set above A10.</t>
        </is>
      </c>
    </row>
    <row r="22">
      <c r="A22" s="17" t="inlineStr">
        <is>
          <t>A12</t>
        </is>
      </c>
      <c r="B22" s="34" t="inlineStr">
        <is>
          <t>Revenue multiple for valuation backsolve</t>
        </is>
      </c>
      <c r="C22" s="17" t="inlineStr">
        <is>
          <t>awaiting_research</t>
        </is>
      </c>
      <c r="D22" s="34" t="inlineStr">
        <is>
          <t>Public digital-health comps</t>
        </is>
      </c>
    </row>
    <row r="23">
      <c r="A23" s="17" t="inlineStr">
        <is>
          <t>A13</t>
        </is>
      </c>
      <c r="B23" s="34" t="inlineStr">
        <is>
          <t>Eligible patient population for free pathway</t>
        </is>
      </c>
      <c r="C23" s="17" t="inlineStr">
        <is>
          <t>estimated_external</t>
        </is>
      </c>
      <c r="D23" s="34" t="inlineStr">
        <is>
          <t>Census/SAMHSA TAM anchor (P01-P08; data/uninsured_population_sizing.md). ~5.9M uninsured US adults 18+ with AMI (NSDUH 2024). Low/base/high = Legion REACHABLE uninsured AMI cohort: 25K/150K/750K. CEO confirmed 2026-07-09: 0 of ~3,000 current actives are uninsured -- this is a GREENFIELD pipeline only; core FFS book unchanged. Scope: uninsured-only free pathway.</t>
        </is>
      </c>
    </row>
    <row r="24">
      <c r="A24" s="17" t="inlineStr">
        <is>
          <t>A14</t>
        </is>
      </c>
      <c r="B24" s="34" t="inlineStr">
        <is>
          <t>Target contribution margin</t>
        </is>
      </c>
      <c r="C24" s="17" t="inlineStr">
        <is>
          <t>set_provisional</t>
        </is>
      </c>
      <c r="D24" s="34" t="inlineStr">
        <is>
          <t>Lead judgment</t>
        </is>
      </c>
    </row>
    <row r="25">
      <c r="A25" s="17" t="inlineStr">
        <is>
          <t>A15</t>
        </is>
      </c>
      <c r="B25" s="34" t="inlineStr">
        <is>
          <t>Employer/payer PEPM underwriting range (Model D anchor)</t>
        </is>
      </c>
      <c r="C25" s="17" t="inlineStr">
        <is>
          <t>estimated_external</t>
        </is>
      </c>
      <c r="D25" s="34" t="inlineStr">
        <is>
          <t>comparable_notes.md: EAP $3-9 PEPM low end ($36-108/yr); Lyra/Spring Health $120-350/mo premium end ($1,440-4,200/yr); base case set at approx. general-benefit midpoint ($50/mo=$600/yr), not a Legion-specific quote.</t>
        </is>
      </c>
    </row>
    <row r="26">
      <c r="A26" s="17" t="inlineStr">
        <is>
          <t>A16</t>
        </is>
      </c>
      <c r="B26" s="34" t="inlineStr">
        <is>
          <t>Foundation/grant annual funding pool (Model E anchor)</t>
        </is>
      </c>
      <c r="C26" s="17" t="inlineStr">
        <is>
          <t>placeholder_unresolved</t>
        </is>
      </c>
      <c r="D26" s="34" t="inlineStr">
        <is>
          <t>PLACEHOLDER. No specific Legion foundation partner identified. Order-of-magnitude range drawn from typical mid-size health-foundation program grant sizes (analytic placeholder, not sourced to a named grantor).</t>
        </is>
      </c>
    </row>
    <row r="27">
      <c r="A27" s="17" t="inlineStr">
        <is>
          <t>A17</t>
        </is>
      </c>
      <c r="B27" s="34" t="inlineStr">
        <is>
          <t>Foundation-funded cohort size</t>
        </is>
      </c>
      <c r="C27" s="17" t="inlineStr">
        <is>
          <t>placeholder_unresolved</t>
        </is>
      </c>
      <c r="D27" s="34" t="inlineStr">
        <is>
          <t>PLACEHOLDER. Analytic placeholder scaling with A16; no Legion or named-foundation data.</t>
        </is>
      </c>
    </row>
    <row r="28">
      <c r="A28" s="17" t="inlineStr">
        <is>
          <t>A18</t>
        </is>
      </c>
      <c r="B28" s="34" t="inlineStr">
        <is>
          <t>Foundation grant duration</t>
        </is>
      </c>
      <c r="C28" s="17" t="inlineStr">
        <is>
          <t>placeholder_external</t>
        </is>
      </c>
      <c r="D28" s="34" t="inlineStr">
        <is>
          <t>PLACEHOLDER. Typical foundation grant cycles are commonly 1-3 years in philanthropic-sector practice generally; not sourced to a specific behavioral-health grantor.</t>
        </is>
      </c>
    </row>
    <row r="29">
      <c r="A29" s="17" t="inlineStr">
        <is>
          <t>A19</t>
        </is>
      </c>
      <c r="B29" s="34" t="inlineStr">
        <is>
          <t>Qualified performance action rate (Model C)</t>
        </is>
      </c>
      <c r="C29" s="17" t="inlineStr">
        <is>
          <t>placeholder_unresolved</t>
        </is>
      </c>
      <c r="D29" s="34" t="inlineStr">
        <is>
          <t>PLACEHOLDER. Model C flagged in decision_framework.md as requiring legal review before real-world use (steering-risk); modeled here for economic comparison only, not a Legion or sourced conversion rate.</t>
        </is>
      </c>
    </row>
    <row r="30">
      <c r="A30" s="17" t="inlineStr">
        <is>
          <t>A20</t>
        </is>
      </c>
      <c r="B30" s="34" t="inlineStr">
        <is>
          <t>Revenue per qualified action (Model C)</t>
        </is>
      </c>
      <c r="C30" s="17" t="inlineStr">
        <is>
          <t>placeholder_unresolved</t>
        </is>
      </c>
      <c r="D30" s="34" t="inlineStr">
        <is>
          <t>PLACEHOLDER. No comparable per-action healthcare sponsorship pricing found (pharma affiliate/performance marketing rates vary widely and are not disclosed publicly at the per-action level for this use case); analytic placeholder only. Model C is flagged for legal review per decision_framework.md gate 4 (no prohibited referral/steering incentives).</t>
        </is>
      </c>
    </row>
    <row r="31">
      <c r="A31" s="17" t="inlineStr">
        <is>
          <t>A21</t>
        </is>
      </c>
      <c r="B31" s="34" t="inlineStr">
        <is>
          <t>Employer/payer utilization adjustment (share of covered lives actively engaging)</t>
        </is>
      </c>
      <c r="C31" s="17" t="inlineStr">
        <is>
          <t>placeholder_external</t>
        </is>
      </c>
      <c r="D31" s="34" t="inlineStr">
        <is>
          <t>PLACEHOLDER. General digital-health-benefit engagement/utilization rates commonly cited in employer-benefits industry commentary span roughly this range; not sourced to a specific Legion employer pilot.</t>
        </is>
      </c>
    </row>
    <row r="32">
      <c r="A32" s="17" t="inlineStr">
        <is>
          <t>A22</t>
        </is>
      </c>
      <c r="B32" s="34" t="inlineStr">
        <is>
          <t>Traditional pathway trust/churn baseline conversion rate (pre-sponsorship)</t>
        </is>
      </c>
      <c r="C32" s="17" t="inlineStr">
        <is>
          <t>placeholder_unresolved</t>
        </is>
      </c>
      <c r="D32" s="34" t="inlineStr">
        <is>
          <t>PLACEHOLDER. No Legion funnel data. Placeholder baseline against which A10/A11 percentage-point declines are applied; order-of-magnitude only.</t>
        </is>
      </c>
    </row>
    <row r="33">
      <c r="A33" s="17" t="inlineStr">
        <is>
          <t>A23</t>
        </is>
      </c>
      <c r="B33" s="34" t="inlineStr">
        <is>
          <t>Reference sponsor contract count (Model B cost-allocation denominator)</t>
        </is>
      </c>
      <c r="C33" s="17" t="inlineStr">
        <is>
          <t>placeholder_unresolved</t>
        </is>
      </c>
      <c r="D33" s="34" t="inlineStr">
        <is>
          <t>Illustrative reference count of simultaneously-active sponsor contracts, used ONLY to split A08 (sales+servicing cost per contract) across the exposed patient base in the fully-loaded-cost calculation. Not a market-sized estimate of achievable sponsor count (see Path-to-1B sponsor-count backsolve in model_readme.md for the actual scale question). Held at base case across all low/base/high scenarios (policy-lever/normalization constant, not a pessimism/optimism axis), analogous to A12/A14 treatment.</t>
        </is>
      </c>
    </row>
    <row r="34">
      <c r="A34" s="17" t="inlineStr">
        <is>
          <t>A24</t>
        </is>
      </c>
      <c r="B34" s="34" t="inlineStr">
        <is>
          <t>Reference annual sponsor contract value (Model B illustrative denominator)</t>
        </is>
      </c>
      <c r="C34" s="17" t="inlineStr">
        <is>
          <t>estimated_external</t>
        </is>
      </c>
      <c r="D34" s="34" t="inlineStr">
        <is>
          <t>Illustrative single-sponsor contract size used only for the Path-to-1B required-sponsor-count/concentration backsolve and as a cross-check denominator against A05's external-anchor ARPU. Order-of-magnitude anchored to comparable_notes.md pharma-agency-retainer/CSO contract-size discussion ($5K-$50M cited across sources, narrowed here to a single-sponsor range); not a Legion-specific contract. Held at base case across all low/base/high scenarios (policy-lever/normalization constant), analogous to A12/A14 treatment.</t>
        </is>
      </c>
    </row>
    <row r="35">
      <c r="A35" s="17" t="inlineStr">
        <is>
          <t>A25</t>
        </is>
      </c>
      <c r="B35" s="34" t="inlineStr">
        <is>
          <t>Core-book revenue exposure per patient (Legion existing fee-for-service revenue per active patient/yr; core-book contagion term)</t>
        </is>
      </c>
      <c r="C35" s="17" t="inlineStr">
        <is>
          <t>ceo_directional</t>
        </is>
      </c>
      <c r="D35" s="34" t="inlineStr">
        <is>
          <t>CEO-provided directional data (Phase 5, 2026-07-08, data/ceo_data_integration.md #3/#4/#9), REPLACES the prior analyst-anchored placeholder (was 500/1500/4000, derived pre-CEO-data from A01 x A03 grossed up ~53% GM). Now computed directly: Base=Low=$811 = 5.3 historical visits/patient/yr (A03 base) x $153/completed-visit revenue (CEO data point #4) = $810.9, rounded. High=$2,025 = ~13.2 mature/continuously-active-cohort visits/yr (A03 high) x $153 = $2,019.6, rounded to $2,025 to match the CEO-cited mature-cohort booked LTV (A29: 8.1x x $250 CAC = $2,025) exactly. Low=Base is deliberate (both use the historical-average patient-year figure; no CEO-sourced figure exists below it, so low is NOT set lower as a matter of oversight). Per A03's tension note: do NOT blend base and high into one number -- they describe different patient populations (average vs. mature/continuously-active cohort).</t>
        </is>
      </c>
    </row>
    <row r="36">
      <c r="A36" s="17" t="inlineStr">
        <is>
          <t>A26</t>
        </is>
      </c>
      <c r="B36" s="34" t="inlineStr">
        <is>
          <t>Core-book trust-spillover rate (share of core-book revenue at risk from sponsorship-driven trust damage bleeding into Legion's existing FFS patient relationship)</t>
        </is>
      </c>
      <c r="C36" s="17" t="inlineStr">
        <is>
          <t>placeholder_unresolved</t>
        </is>
      </c>
      <c r="D36" s="34" t="inlineStr">
        <is>
          <t>PLACEHOLDER — structurally new assumption added in v2 (2026-07-07) post strategy_red_team.md Attack #5 / 2.5. No patient concept test has examined whether sponsorship-driven trust damage spills beyond the sponsored tier into a patient's separate, existing paying relationship with Legion's core FFS service line. Base case set deliberately small (0.5%) so the resulting core-book contagion cost stays visibly provisional in the model grid rather than reading as a considered central estimate; low/high span roughly an order of magnitude around that base to show the term is far from resolved, not to imply precision.</t>
        </is>
      </c>
    </row>
    <row r="37">
      <c r="A37" s="17" t="inlineStr">
        <is>
          <t>A27</t>
        </is>
      </c>
      <c r="B37" s="34" t="inlineStr">
        <is>
          <t>Reference single-grantor annual grant size (Model E scale-backsolve denominator)</t>
        </is>
      </c>
      <c r="C37" s="17" t="inlineStr">
        <is>
          <t>placeholder_unresolved</t>
        </is>
      </c>
      <c r="D37" s="34" t="inlineStr">
        <is>
          <t>Illustrative single-foundation/grantor annual grant size used only for the Path-to-1B required-grantor-count/concentration backsolve, added in v2 (2026-07-07) post strategy_red_team.md Attack 7.2 ('apply the same backsolve rigor to Model E ... that was applied to Model B'). Not a market-sizing estimate of achievable grantor count. Held at base case across all low/base/high scenarios (policy-lever/normalization constant), analogous to A23/A24 treatment. Value range matches A16 (Foundation/grant annual funding pool) since both describe a single foundation's typical annual grant size; kept as a separate assumption id from A16 for backsolve auditability — A16 drives the Model E ARPU-grid grant-pool figure directly (and varies by scenario), while A27 is reserved for the scale-backsolve denominator (held fixed at base, mirroring A24's role for Model B).</t>
        </is>
      </c>
    </row>
    <row r="38">
      <c r="A38" s="17" t="inlineStr">
        <is>
          <t>A28</t>
        </is>
      </c>
      <c r="B38" s="34" t="inlineStr">
        <is>
          <t>Customer acquisition cost (CAC)</t>
        </is>
      </c>
      <c r="C38" s="17" t="inlineStr">
        <is>
          <t>ceo_directional</t>
        </is>
      </c>
      <c r="D38" s="34" t="inlineStr">
        <is>
          <t>CEO-provided directional data (Phase 5, 2026-07-08, data/ceo_data_integration.md #8): CAC ~$250. Single point estimate -- no range given by the CEO, so low=base=high=250 (not a distribution). NEW assumption added post-CEO-data-integration; feeds ONLY the new 'free care as acquisition channel' funnel-lens comparison (A02b vs A28, see model_readme.md v3 / model/funnel_lens.csv and model.py free_care_acquisition_breakeven_conversion_rate()) -- not wired into the pathway/model economics grid (outputs.csv/sensitivity_outputs.csv), which is unaffected by this row.</t>
        </is>
      </c>
    </row>
    <row r="39">
      <c r="A39" s="17" t="inlineStr">
        <is>
          <t>A29</t>
        </is>
      </c>
      <c r="B39" s="34" t="inlineStr">
        <is>
          <t>Mature-cohort booked-revenue LTV/CAC multiple</t>
        </is>
      </c>
      <c r="C39" s="17" t="inlineStr">
        <is>
          <t>ceo_directional</t>
        </is>
      </c>
      <c r="D39" s="34" t="inlineStr">
        <is>
          <t>CEO-provided directional data (Phase 5, 2026-07-08, data/ceo_data_integration.md #9): mature-cohort booked-revenue LTV/CAC ~8.1x. Single point estimate (no range given). Implies booked LTV ~= 8.1 x $250 (A28) = $2,025/patient, consistent with A25's high case and A03's mature-cohort ~13.2-visits/yr figure (2,025/153~=13.2 visits). Context/cross-check only -- not an independent input to any pathway/model formula in model.py.</t>
        </is>
      </c>
    </row>
    <row r="40">
      <c r="A40" s="17" t="inlineStr">
        <is>
          <t>A30</t>
        </is>
      </c>
      <c r="B40" s="34" t="inlineStr">
        <is>
          <t>Mature-cohort gross-margin LTV/CAC multiple</t>
        </is>
      </c>
      <c r="C40" s="17" t="inlineStr">
        <is>
          <t>ceo_directional</t>
        </is>
      </c>
      <c r="D40" s="34" t="inlineStr">
        <is>
          <t>CEO-provided directional data (Phase 5, 2026-07-08, data/ceo_data_integration.md #9): mature-cohort gross-margin LTV/CAC ~4.2x. Single point estimate (no range given). Implies gross-margin LTV ~= 4.2 x $250 (A28) = $1,050/patient. Context/cross-check only -- not wired into any pathway/model formula in model.py.</t>
        </is>
      </c>
    </row>
    <row r="42">
      <c r="A42" s="15" t="inlineStr">
        <is>
          <t>Key External Anchors Referenced (see research/comparable_notes.md for full detail)</t>
        </is>
      </c>
      <c r="B42" s="16" t="n"/>
      <c r="C42" s="16" t="n"/>
      <c r="D42" s="16" t="n"/>
    </row>
    <row r="43" ht="30" customHeight="1">
      <c r="A43" s="35" t="inlineStr">
        <is>
          <t>- GoodRx pharma-manufacturer-solutions ARPU proxy: ~$15/patient/yr [DERIVED, third-party-sourced] -&gt; A05 base.</t>
        </is>
      </c>
    </row>
    <row r="44" ht="30" customHeight="1">
      <c r="A44" s="35" t="inlineStr">
        <is>
          <t>- Facebook / patient-health-vertical contextual eCPM: $20-45 [Third-party estimate] -&gt; A06 range. Do NOT use physician CPMs ($70-1,000+, OpenEvidence/Doximity) for a patient audience.</t>
        </is>
      </c>
    </row>
    <row r="45" ht="30" customHeight="1">
      <c r="A45" s="35" t="inlineStr">
        <is>
          <t>- Employer/payer PEPM benchmark: EAP $3-9 PEPM ($36-108/yr) to Lyra/Spring Health premium $120-350/mo ($1,440-4,200/yr) [Third-party estimates] -&gt; A15 range.</t>
        </is>
      </c>
    </row>
    <row r="46" ht="30" customHeight="1">
      <c r="A46" s="35" t="inlineStr">
        <is>
          <t>- Pharma agency retainer / CSO contract-size ranges ($5K/mo-$50M) -&gt; A08, A24 order-of-magnitude anchors.</t>
        </is>
      </c>
    </row>
    <row r="47" ht="30" customHeight="1">
      <c r="A47" s="35" t="inlineStr">
        <is>
          <t>- GoodRx FTC Health Breach Notification Rule enforcement (2023) and Cerebral FTC action (2024): regulatory precedent informing A09 compliance-cost high end and the trust-churn framing (A10/A11) — not used to derive a numeric trust-loss estimate (no such benchmark exists; A10/A11 remain placeholder_unresolved pending a patient concept test).</t>
        </is>
      </c>
    </row>
  </sheetData>
  <mergeCells count="6">
    <mergeCell ref="A2:F2"/>
    <mergeCell ref="A47:F47"/>
    <mergeCell ref="A46:F46"/>
    <mergeCell ref="A44:F44"/>
    <mergeCell ref="A45:F4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2026-07-09T07:52:58Z</dcterms:created>
  <dcterms:modified xsi:type="dcterms:W3CDTF">2026-07-09T07:52:58Z</dcterms:modified>
</cp:coreProperties>
</file>